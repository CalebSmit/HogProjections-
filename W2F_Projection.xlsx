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1"/>
  </bookViews>
  <sheets>
    <sheet name="How to use" sheetId="1" r:id="rId1"/>
    <sheet name="Dashboard" sheetId="2" r:id="rId2"/>
    <sheet name="Inputs" sheetId="3" r:id="rId3"/>
    <sheet name="Locations" sheetId="4" r:id="rId4"/>
    <sheet name="Feed" sheetId="5" r:id="rId5"/>
    <sheet name="Marketing" sheetId="6" r:id="rId6"/>
    <sheet name="Market Data" sheetId="7" r:id="rId7"/>
    <sheet name="Costs" sheetId="8" r:id="rId8"/>
    <sheet name="Weekly Crush" sheetId="9" r:id="rId9"/>
  </sheets>
  <definedNames>
    <definedName name="AvgDays">SUMPRODUCT(Marketing!$A$5:$A$12,Marketing!$B$5:$B$12)/100</definedName>
    <definedName name="BarnDays">Inputs!$C$73</definedName>
    <definedName name="BarnDowntime">Inputs!$C$37</definedName>
    <definedName name="BarnMode">Inputs!$C$36</definedName>
    <definedName name="BarnPerPig">Inputs!$C$38</definedName>
    <definedName name="BarnRent">Inputs!$C$67</definedName>
    <definedName name="BasisByPeriod">'Market Data'!$F$5:$F$28</definedName>
    <definedName name="CarcassCwt">SUMPRODUCT(Marketing!$K$5:$K$12,Marketing!$L$5:$L$12)/100</definedName>
    <definedName name="CheckoffCost">CostCheckoff</definedName>
    <definedName name="CheckoffPct">Inputs!$C$54</definedName>
    <definedName name="CornBasis">Inputs!$C$64</definedName>
    <definedName name="CornCarry">Inputs!$C$29</definedName>
    <definedName name="CornCash">Inputs!$C$69</definedName>
    <definedName name="CornFutures">Inputs!$C$26</definedName>
    <definedName name="CornHedged">Inputs!$C$31</definedName>
    <definedName name="CornHedgePct">Inputs!$C$30</definedName>
    <definedName name="CostBarn">Costs!$B$7</definedName>
    <definedName name="CostCheckoff">Costs!$B$17</definedName>
    <definedName name="CostFeed">Costs!$B$6</definedName>
    <definedName name="CostGA">Costs!$B$13</definedName>
    <definedName name="CostInsMisc">Costs!$B$12</definedName>
    <definedName name="CostInterest">Costs!$B$16</definedName>
    <definedName name="CostLabor">Costs!$B$8</definedName>
    <definedName name="CostMortality">Costs!$B$14</definedName>
    <definedName name="CostOther">Costs!$B$15</definedName>
    <definedName name="CostPigs">Costs!$B$5</definedName>
    <definedName name="CostTrucking">Costs!$B$11</definedName>
    <definedName name="CostUtilities">Costs!$B$10</definedName>
    <definedName name="CostVet">Costs!$B$9</definedName>
    <definedName name="CrCornCash">'Weekly Crush'!$B$8</definedName>
    <definedName name="CrDays">'Weekly Crush'!$B$6</definedName>
    <definedName name="CrLag">'Weekly Crush'!$B$5</definedName>
    <definedName name="CrWeight">'Weekly Crush'!$B$7</definedName>
    <definedName name="CutDays">Marketing!$A$5:$A$12</definedName>
    <definedName name="DdgsPrice">Inputs!$C$66</definedName>
    <definedName name="DeadFeedShare">Inputs!$C$13</definedName>
    <definedName name="FeedCornBu">Feed!$I$17</definedName>
    <definedName name="FeedCost">Feed!$M$17</definedName>
    <definedName name="FeedDdgsTons">Feed!$K$17</definedName>
    <definedName name="FeedMill">Inputs!$C$28</definedName>
    <definedName name="FeedOtherUsd">SUMPRODUCT(Feed!$L$5:$L$16,Feed!$G$5:$G$16)</definedName>
    <definedName name="FeedSbmTons">Feed!$J$17</definedName>
    <definedName name="FeedTons">Feed!$H$17</definedName>
    <definedName name="FutContracts">'Market Data'!$A$5:$A$28</definedName>
    <definedName name="FutPrices">'Market Data'!$B$5:$B$28</definedName>
    <definedName name="GA">Inputs!$C$46</definedName>
    <definedName name="GrossRevenue">Marketing!$M$13</definedName>
    <definedName name="HeadPlaced">Inputs!$C$7</definedName>
    <definedName name="HeadSold">Inputs!$C$72</definedName>
    <definedName name="HogHedged">Inputs!$C$56</definedName>
    <definedName name="HogHedgePct">Inputs!$C$55</definedName>
    <definedName name="InsMisc">Inputs!$C$45</definedName>
    <definedName name="InterestMode">Inputs!$C$48</definedName>
    <definedName name="InterestPct">Inputs!$C$50</definedName>
    <definedName name="InterestPerPig">Inputs!$C$49</definedName>
    <definedName name="KpiAvgPrice">Dashboard!$G$5</definedName>
    <definedName name="KpiBreakeven">Dashboard!$E$5</definedName>
    <definedName name="KpiCostHd">Dashboard!$I$5</definedName>
    <definedName name="KpiDebt">Dashboard!$C$29</definedName>
    <definedName name="KpiFeedConv">Dashboard!$J$15</definedName>
    <definedName name="KpiNet">Dashboard!$C$5</definedName>
    <definedName name="KpiNetAfterDebtHd">Dashboard!$D$30</definedName>
    <definedName name="KpiNetHd">Dashboard!$B$5</definedName>
    <definedName name="KpiRevenue">Dashboard!$C$12</definedName>
    <definedName name="KpiRevHd">Dashboard!$D$12</definedName>
    <definedName name="LaborHours">Inputs!$C$40</definedName>
    <definedName name="LaborMode">Inputs!$C$39</definedName>
    <definedName name="LaborPerPig">Inputs!$C$41</definedName>
    <definedName name="LaborWage">Inputs!$C$68</definedName>
    <definedName name="LiveCwt">SUMPRODUCT(Marketing!$K$5:$K$12,Marketing!$C$5:$C$12)/100</definedName>
    <definedName name="Location">Inputs!$C$15</definedName>
    <definedName name="LocBarnRent">Locations!$F$5:$F$64</definedName>
    <definedName name="LocCornBasis">Locations!$C$5:$C$64</definedName>
    <definedName name="LocDdgs">Locations!$E$5:$E$64</definedName>
    <definedName name="LocNames">Locations!$A$5:$A$64</definedName>
    <definedName name="LocRow">Inputs!$C$63</definedName>
    <definedName name="LocSbmBasis">Locations!$D$5:$D$64</definedName>
    <definedName name="LocWage">Locations!$G$5:$G$64</definedName>
    <definedName name="MortalityPct">Inputs!$C$11</definedName>
    <definedName name="MortCost">Inputs!$C$12</definedName>
    <definedName name="MortMode">Inputs!$C$10</definedName>
    <definedName name="OtherSold">Inputs!$C$47</definedName>
    <definedName name="PigsFed">Inputs!$C$74</definedName>
    <definedName name="PlacementDate">Inputs!$C$8</definedName>
    <definedName name="Premium">Inputs!$C$53</definedName>
    <definedName name="Principal">Inputs!$C$59</definedName>
    <definedName name="_xlnm.Print_Area" localSheetId="7">Costs!$A$1:$F$18</definedName>
    <definedName name="_xlnm.Print_Area" localSheetId="1">Dashboard!$A$1:$K$58</definedName>
    <definedName name="_xlnm.Print_Area" localSheetId="4">Feed!$A$1:$N$19</definedName>
    <definedName name="_xlnm.Print_Area" localSheetId="0">'How to use'!$A$1:$C$39</definedName>
    <definedName name="_xlnm.Print_Area" localSheetId="2">Inputs!$A$1:$E$75</definedName>
    <definedName name="_xlnm.Print_Area" localSheetId="3">Locations!$A$1:$H$17</definedName>
    <definedName name="_xlnm.Print_Area" localSheetId="6">'Market Data'!$A$1:$F$29</definedName>
    <definedName name="_xlnm.Print_Area" localSheetId="5">Marketing!$A$1:$M$15</definedName>
    <definedName name="_xlnm.Print_Area" localSheetId="8">'Weekly Crush'!$A$1:$N$59</definedName>
    <definedName name="_xlnm.Print_Titles" localSheetId="3">Locations!$4:$4</definedName>
    <definedName name="SbmBasis">Inputs!$C$65</definedName>
    <definedName name="SbmCash">Inputs!$C$70</definedName>
    <definedName name="SbmFutures">Inputs!$C$27</definedName>
    <definedName name="SbmHedged">Inputs!$C$33</definedName>
    <definedName name="SbmHedgePct">Inputs!$C$32</definedName>
    <definedName name="SensGrid">Dashboard!$C$53:$G$57</definedName>
    <definedName name="TermInterest">Inputs!$C$60</definedName>
    <definedName name="TotalCost">Costs!$B$18</definedName>
    <definedName name="Trucking">Inputs!$C$44</definedName>
    <definedName name="Utilities">Inputs!$C$43</definedName>
    <definedName name="VetMed">Inputs!$C$42</definedName>
    <definedName name="WeanAdder">Inputs!$C$21</definedName>
    <definedName name="WeanCash">Inputs!$C$19</definedName>
    <definedName name="WeanFormula">Inputs!$C$20</definedName>
    <definedName name="WeanFreight">Inputs!$C$23</definedName>
    <definedName name="WeanManual">Inputs!$C$22</definedName>
    <definedName name="WeanPrice">Inputs!$C$71</definedName>
    <definedName name="WeanSource">Inputs!$C$18</definedName>
    <definedName name="WeanWeight">Inputs!$C$9</definedName>
    <definedName name="YieldPct">Inputs!$C$14</definedName>
  </definedNames>
  <calcPr calcId="124519" fullCalcOnLoad="1"/>
</workbook>
</file>

<file path=xl/sharedStrings.xml><?xml version="1.0" encoding="utf-8"?>
<sst xmlns="http://schemas.openxmlformats.org/spreadsheetml/2006/main" count="413" uniqueCount="342">
  <si>
    <t>Inputs</t>
  </si>
  <si>
    <t>Type over the blue cells. Every other sheet recalculates.</t>
  </si>
  <si>
    <t>Input (type here)</t>
  </si>
  <si>
    <t>Formula (leave)</t>
  </si>
  <si>
    <t>GROUP</t>
  </si>
  <si>
    <t>Head placed</t>
  </si>
  <si>
    <t>head</t>
  </si>
  <si>
    <t>Placement date</t>
  </si>
  <si>
    <t>date</t>
  </si>
  <si>
    <t>Weaned pig weight</t>
  </si>
  <si>
    <t>lb</t>
  </si>
  <si>
    <t>Mortality method</t>
  </si>
  <si>
    <t>% of head</t>
  </si>
  <si>
    <t>% of head = fewer pigs sold; $ per pig = flat death-loss charge</t>
  </si>
  <si>
    <t>Mortality (wean to market)</t>
  </si>
  <si>
    <t>%</t>
  </si>
  <si>
    <t>Mortality charge if $ per pig</t>
  </si>
  <si>
    <t>$/pig placed</t>
  </si>
  <si>
    <t>Feed eaten by a dead pig (share of full budget)</t>
  </si>
  <si>
    <t>0-1</t>
  </si>
  <si>
    <t>Most death loss is early, so deads eat little</t>
  </si>
  <si>
    <t>Carcass yield</t>
  </si>
  <si>
    <t>Hot carcass / live</t>
  </si>
  <si>
    <t>Feeding location</t>
  </si>
  <si>
    <t>Northwest Iowa</t>
  </si>
  <si>
    <t>Pick from list; prices come from the Locations sheet</t>
  </si>
  <si>
    <t>WEANED PIG</t>
  </si>
  <si>
    <t>Weaned pig price source</t>
  </si>
  <si>
    <t>USDA cash (open market)</t>
  </si>
  <si>
    <t>USDA cash = open market; 2,400+ head lots if reported, else the largest lot</t>
  </si>
  <si>
    <t>USDA weaned pig cash price</t>
  </si>
  <si>
    <t>$/head</t>
  </si>
  <si>
    <t>USDA AMS National Direct Feeder Pig Report (weekly, report 2810), early weaned</t>
  </si>
  <si>
    <t>USDA weaned pig formula price</t>
  </si>
  <si>
    <t>Same report, formula purchases</t>
  </si>
  <si>
    <t>Price adder over USDA</t>
  </si>
  <si>
    <t>Your system's premium over the USDA price (not added to Manual)</t>
  </si>
  <si>
    <t>Manual weaned pig price</t>
  </si>
  <si>
    <t>Weaned pig freight</t>
  </si>
  <si>
    <t>FEED PRICES</t>
  </si>
  <si>
    <t>CBOT corn futures</t>
  </si>
  <si>
    <t>$/bu</t>
  </si>
  <si>
    <t>CBOT soybean meal futures</t>
  </si>
  <si>
    <t>$/ton</t>
  </si>
  <si>
    <t>Feed mill grind/mix/delivery</t>
  </si>
  <si>
    <t>Corn carry / storage adder</t>
  </si>
  <si>
    <t>Corn % hedged</t>
  </si>
  <si>
    <t>Corn hedged/contracted cash price</t>
  </si>
  <si>
    <t>All-in price on the hedged share</t>
  </si>
  <si>
    <t>Soybean meal % hedged</t>
  </si>
  <si>
    <t>Soybean meal hedged/contracted price</t>
  </si>
  <si>
    <t>BARN, LABOR AND OTHER</t>
  </si>
  <si>
    <t>Barn cost method</t>
  </si>
  <si>
    <t>$/space/year</t>
  </si>
  <si>
    <t>Barn downtime between groups</t>
  </si>
  <si>
    <t>days</t>
  </si>
  <si>
    <t>Wash/dry/fill. Barn days = last marketing day + downtime</t>
  </si>
  <si>
    <t>Barn cost if $/pig placed</t>
  </si>
  <si>
    <t>$/pig</t>
  </si>
  <si>
    <t>Labor cost method</t>
  </si>
  <si>
    <t>hours x wage</t>
  </si>
  <si>
    <t>Labor hours per pig placed</t>
  </si>
  <si>
    <t>hr/pig</t>
  </si>
  <si>
    <t>Wage comes from the Locations sheet</t>
  </si>
  <si>
    <t>Labor cost if $/pig placed</t>
  </si>
  <si>
    <t>Vet / med / vaccine</t>
  </si>
  <si>
    <t>$/head placed</t>
  </si>
  <si>
    <t>Utilities / fuel</t>
  </si>
  <si>
    <t>Trucking to market</t>
  </si>
  <si>
    <t>$/head sold</t>
  </si>
  <si>
    <t>Insurance / misc</t>
  </si>
  <si>
    <t>G&amp;A</t>
  </si>
  <si>
    <t>Other / (sales premiums)</t>
  </si>
  <si>
    <t>Negative = premiums received</t>
  </si>
  <si>
    <t>Interest method</t>
  </si>
  <si>
    <t>annual rate</t>
  </si>
  <si>
    <t>Interest if $ per pig</t>
  </si>
  <si>
    <t>Operating interest rate</t>
  </si>
  <si>
    <t>%/yr</t>
  </si>
  <si>
    <t>On pig cost + half of feed, for the feeding period</t>
  </si>
  <si>
    <t>REVENUE</t>
  </si>
  <si>
    <t>Carcass merit premium</t>
  </si>
  <si>
    <t>$/cwt carcass</t>
  </si>
  <si>
    <t>Pork checkoff</t>
  </si>
  <si>
    <t>% of gross</t>
  </si>
  <si>
    <t>Hogs % hedged</t>
  </si>
  <si>
    <t>Hog hedged futures price</t>
  </si>
  <si>
    <t>Futures locked on the hedged share; basis still applies</t>
  </si>
  <si>
    <t>DEBT SERVICE (BELOW THE OPERATING MARGIN)</t>
  </si>
  <si>
    <t>Principal payment</t>
  </si>
  <si>
    <t>Term interest payment</t>
  </si>
  <si>
    <t>FROM THE SELECTED LOCATION AND THE RATION (FORMULAS)</t>
  </si>
  <si>
    <t>Location row</t>
  </si>
  <si>
    <t>Corn basis</t>
  </si>
  <si>
    <t>Soybean meal basis</t>
  </si>
  <si>
    <t>DDGS price</t>
  </si>
  <si>
    <t>Barn rent $/space/year</t>
  </si>
  <si>
    <t>Labor wage $/hr</t>
  </si>
  <si>
    <t>Corn price paid (futures + basis + carry, blended with hedge)</t>
  </si>
  <si>
    <t>Soybean meal price paid (futures + basis, blended with hedge)</t>
  </si>
  <si>
    <t>Weaned pig price used</t>
  </si>
  <si>
    <t>Head sold</t>
  </si>
  <si>
    <t>Barn days occupied</t>
  </si>
  <si>
    <t>Full-feed-budget pig equivalents</t>
  </si>
  <si>
    <t>Locations</t>
  </si>
  <si>
    <t>Local prices by feeding location. Corn basis $/bu vs CBOT (−0.40 = 40¢ under); SBM basis = delivered premium over CBOT meal, $/ton. Add a location in any empty row.</t>
  </si>
  <si>
    <t>Location</t>
  </si>
  <si>
    <t>State</t>
  </si>
  <si>
    <t>Corn basis $/bu</t>
  </si>
  <si>
    <t>SBM basis $/ton</t>
  </si>
  <si>
    <t>DDGS $/ton</t>
  </si>
  <si>
    <t>Barn rent $/space/yr</t>
  </si>
  <si>
    <t>Source / notes</t>
  </si>
  <si>
    <t>Central Illinois</t>
  </si>
  <si>
    <t>IL</t>
  </si>
  <si>
    <t>IL SBM FOB avg $378.06 (AMS 3668 Oct 8 2026) +$20 truck. DDGS: AMS 3618 IL $202.50 (Oct 5 2026). Basis [ESTIMATE]</t>
  </si>
  <si>
    <t>Central Indiana</t>
  </si>
  <si>
    <t>IN</t>
  </si>
  <si>
    <t>SBM: Bunge Decatur IN +$10-20 over Dec ZM (Oct 17 2026) +$20 truck. DDGS: AMS 3618 IN $187.88 (Oct 5 2026). Basis [ESTIMATE]</t>
  </si>
  <si>
    <t>Central Iowa</t>
  </si>
  <si>
    <t>IA</t>
  </si>
  <si>
    <t>Processor demand near Des Moines [ESTIMATE]. DDGS: AMS 3618 IA (Oct 5 2026). Barn/wage [VERIFY]</t>
  </si>
  <si>
    <t>Central South Dakota</t>
  </si>
  <si>
    <t>SD</t>
  </si>
  <si>
    <t>Corn basis: far from processors/rail [ESTIMATE]. SBM: +15 FOB +$20 truck [ESTIMATE]. DDGS: AMS 3618 SD $195.00 (Oct 5 2026). Barn [VERIFY]. Wage: NASS Northern Plains $17.51 (Oct 2024) [VERIFY]</t>
  </si>
  <si>
    <t>Eastern South Dakota (Sioux Falls)</t>
  </si>
  <si>
    <t>[ESTIMATE] basis. DDGS: AMS 3618 SD (Oct 5 2026). Wage: NASS Northern Plains (Oct 2024) [VERIFY]</t>
  </si>
  <si>
    <t>Northeast Iowa</t>
  </si>
  <si>
    <t>Corn basis weaker than NW IA in Aug 2026 AMS 2850 [ESTIMATE]. DDGS: AMS 3618 IA (Oct 5 2026). Barn/wage [VERIFY]</t>
  </si>
  <si>
    <t>Northeast Nebraska</t>
  </si>
  <si>
    <t>NE</t>
  </si>
  <si>
    <t>NE cash $4.27-5.18 (Oct 13 2026) [ESTIMATE]. DDGS: AMS 3618 NE $207.50 (Oct 5 2026). Wage: NASS Northern Plains [VERIFY]</t>
  </si>
  <si>
    <t>Northern Missouri</t>
  </si>
  <si>
    <t>MO</t>
  </si>
  <si>
    <t>No MO DDGS series found; all values [ESTIMATE]</t>
  </si>
  <si>
    <t>Corn basis: NW IA co-op Dec bids -37/-39 (Oct 7 2026) [ESTIMATE]. SBM: IA FOB avg $366.75 (AMS 3668 Oct 8 2026) = ~+10 over Dec ZM, +$20 truck to farm [ESTIMATE]. DDGS: AMS 3618 IA $179.79 (Oct 5 2026). Barn: $30-40/space/yr extension range, rising build cost [VERIFY]. Wage: NASS US livestock $18.15 (Apr 2025) [VERIFY regional]</t>
  </si>
  <si>
    <t>Southern Minnesota</t>
  </si>
  <si>
    <t>MN</t>
  </si>
  <si>
    <t>S. MN cash $4.18-4.36 (Oct 13 2026) [ESTIMATE]. DDGS: AMS 3618 MN (Oct 5 2026). Barn/wage [VERIFY]</t>
  </si>
  <si>
    <t>Southwest Iowa</t>
  </si>
  <si>
    <t>Council Bluffs processors [ESTIMATE]. DDGS: AMS 3618 IA (Oct 5 2026). Barn/wage [VERIFY]</t>
  </si>
  <si>
    <t>Southwest Minnesota</t>
  </si>
  <si>
    <t>Corn basis: S. MN cash $4.18-4.36 (Oct 13 2026) vs Dec [ESTIMATE]. SBM: MN FOB avg $359.79 (AMS 3668 Oct 8 2026) +$20 truck [ESTIMATE]. DDGS: AMS 3618 MN $186.25 (Oct 5 2026). Barn [VERIFY]. Wage: NASS US $18.15 [VERIFY regional]</t>
  </si>
  <si>
    <t>Feed budget</t>
  </si>
  <si>
    <t>Blue columns are the ration (per pig marketed, by phase). Other % = premix, fat, amino acids and minerals, priced by Other $/ton. Grey columns are calculated.</t>
  </si>
  <si>
    <t>Phase</t>
  </si>
  <si>
    <t>Feed lb/pig</t>
  </si>
  <si>
    <t>Corn %</t>
  </si>
  <si>
    <t>SBM %</t>
  </si>
  <si>
    <t>DDGS %</t>
  </si>
  <si>
    <t>Other %</t>
  </si>
  <si>
    <t>Other $/ton</t>
  </si>
  <si>
    <t>Tons</t>
  </si>
  <si>
    <t>Corn bu</t>
  </si>
  <si>
    <t>SBM tons</t>
  </si>
  <si>
    <t>DDGS tons</t>
  </si>
  <si>
    <t>Other tons</t>
  </si>
  <si>
    <t>Cost $</t>
  </si>
  <si>
    <t>Nursery 1 (12-25 lb)</t>
  </si>
  <si>
    <t>Nursery 2 (25-50 lb)</t>
  </si>
  <si>
    <t>Grower 1 (50-100 lb)</t>
  </si>
  <si>
    <t>Grower 2 (100-160 lb)</t>
  </si>
  <si>
    <t>Finisher 1 (160-220 lb)</t>
  </si>
  <si>
    <t>Finisher 2 (220-285 lb)</t>
  </si>
  <si>
    <t>Total</t>
  </si>
  <si>
    <t>Feed lb/pig is per pig marketed; tons are for the whole group.</t>
  </si>
  <si>
    <t>Market data</t>
  </si>
  <si>
    <t>Lean hog futures by contract, and the average historical basis by half-month (CME Lean Hog Index − nearby futures) that each sale uses.</t>
  </si>
  <si>
    <t>Contract</t>
  </si>
  <si>
    <t>Futures $/cwt carcass</t>
  </si>
  <si>
    <t>2026-12</t>
  </si>
  <si>
    <t>2027-02</t>
  </si>
  <si>
    <t>2027-04</t>
  </si>
  <si>
    <t>Period</t>
  </si>
  <si>
    <t>Half-month</t>
  </si>
  <si>
    <t>Avg basis $/cwt</t>
  </si>
  <si>
    <t>Jan 1-14</t>
  </si>
  <si>
    <t>Jan 15-end</t>
  </si>
  <si>
    <t>Feb 1-14</t>
  </si>
  <si>
    <t>Feb 15-end</t>
  </si>
  <si>
    <t>Mar 1-14</t>
  </si>
  <si>
    <t>Mar 15-end</t>
  </si>
  <si>
    <t>Apr 1-14</t>
  </si>
  <si>
    <t>Apr 15-end</t>
  </si>
  <si>
    <t>May 1-14</t>
  </si>
  <si>
    <t>May 15-end</t>
  </si>
  <si>
    <t>Jun 1-14</t>
  </si>
  <si>
    <t>Jun 15-end</t>
  </si>
  <si>
    <t>Jul 1-14</t>
  </si>
  <si>
    <t>Jul 15-end</t>
  </si>
  <si>
    <t>Aug 1-14</t>
  </si>
  <si>
    <t>Aug 15-end</t>
  </si>
  <si>
    <t>Sep 1-14</t>
  </si>
  <si>
    <t>Sep 15-end</t>
  </si>
  <si>
    <t>Oct 1-14</t>
  </si>
  <si>
    <t>Oct 15-end</t>
  </si>
  <si>
    <t>Nov 1-14</t>
  </si>
  <si>
    <t>Nov 15-end</t>
  </si>
  <si>
    <t>Dec 1-14</t>
  </si>
  <si>
    <t>Dec 15-end</t>
  </si>
  <si>
    <t>Marketing</t>
  </si>
  <si>
    <t>When the pigs sell. Each cut is priced at the lean hog contract for its sale date plus the average basis for that half-month, plus the premium. % of marketed must total 100.</t>
  </si>
  <si>
    <t>Days after placement</t>
  </si>
  <si>
    <t>% of marketed</t>
  </si>
  <si>
    <t>Live wt lb</t>
  </si>
  <si>
    <t>Sale date</t>
  </si>
  <si>
    <t>Basis period</t>
  </si>
  <si>
    <t>Futures $/cwt</t>
  </si>
  <si>
    <t>Basis $/cwt</t>
  </si>
  <si>
    <t>Premium $/cwt</t>
  </si>
  <si>
    <t>Price $/cwt carcass</t>
  </si>
  <si>
    <t>Head</t>
  </si>
  <si>
    <t>Carcass lb</t>
  </si>
  <si>
    <t>Revenue $</t>
  </si>
  <si>
    <t>Contract rule (ISU B2-41): a sale on days 1-14 of a contract month (Feb Apr May Jun Jul Aug Oct Dec) uses that month's contract; otherwise the next contract.</t>
  </si>
  <si>
    <t>Costs</t>
  </si>
  <si>
    <t>Every cost line for the group, by head and by cwt. All formulas.</t>
  </si>
  <si>
    <t>Cost line</t>
  </si>
  <si>
    <t>Total $</t>
  </si>
  <si>
    <t>% of total</t>
  </si>
  <si>
    <t>Weaned pigs</t>
  </si>
  <si>
    <t>Feed</t>
  </si>
  <si>
    <t>Barn / facilities</t>
  </si>
  <si>
    <t>Labor</t>
  </si>
  <si>
    <t>Vet / med</t>
  </si>
  <si>
    <t>Utilities</t>
  </si>
  <si>
    <t>Mortality ($/pig)</t>
  </si>
  <si>
    <t>Other / (premiums)</t>
  </si>
  <si>
    <t>Interest</t>
  </si>
  <si>
    <t>Checkoff</t>
  </si>
  <si>
    <t>Total cost</t>
  </si>
  <si>
    <t>Wean-to-Finish Group Projection</t>
  </si>
  <si>
    <t>NET PER HEAD SOLD</t>
  </si>
  <si>
    <t>NET PROFIT (GROUP)</t>
  </si>
  <si>
    <t>BREAKEVEN $/CWT CARCASS</t>
  </si>
  <si>
    <t>AVG SALE $/CWT CARCASS</t>
  </si>
  <si>
    <t>COST PER HEAD SOLD</t>
  </si>
  <si>
    <t>PROFIT AND LOSS</t>
  </si>
  <si>
    <t>KEY NUMBERS</t>
  </si>
  <si>
    <t>% of revenue</t>
  </si>
  <si>
    <t>Hog sales</t>
  </si>
  <si>
    <t>Less costs</t>
  </si>
  <si>
    <t>Net margin</t>
  </si>
  <si>
    <t>Debt service (principal + interest)</t>
  </si>
  <si>
    <t>Net after debt service</t>
  </si>
  <si>
    <t>Value</t>
  </si>
  <si>
    <t>Avg days on feed</t>
  </si>
  <si>
    <t>Feed conversion (lb feed / lb gain)</t>
  </si>
  <si>
    <t>Weaned pig $/head</t>
  </si>
  <si>
    <t>Corn paid $/bu</t>
  </si>
  <si>
    <t>Soybean meal paid $/ton</t>
  </si>
  <si>
    <t>Soybean meal basis $/ton</t>
  </si>
  <si>
    <t>Breakeven $/cwt live</t>
  </si>
  <si>
    <t>Total feed, tons</t>
  </si>
  <si>
    <t>WHAT IF PRICES MOVE?  NET $/HEAD SOLD</t>
  </si>
  <si>
    <t>Corn futures ↓   ·   lean hog futures →</t>
  </si>
  <si>
    <t>Blue cells are the price changes (corn $/bu down the side, lean hogs $/cwt across); edit them. Hedged shares don't move. Centre cell = today's projection.</t>
  </si>
  <si>
    <t>Weekly crush</t>
  </si>
  <si>
    <t>Margin per pig for each weekly placement. Blue cells are inputs; costs, ration and debt come from the Inputs, Feed and Costs sheets. Hedges are left out.</t>
  </si>
  <si>
    <t>SETTINGS</t>
  </si>
  <si>
    <t>Report → placement (days)</t>
  </si>
  <si>
    <t>Days to average marketing</t>
  </si>
  <si>
    <t>Sale weight (lb live)</t>
  </si>
  <si>
    <t>Corn prices are cash (Yes/No)</t>
  </si>
  <si>
    <t>No</t>
  </si>
  <si>
    <t>WEEKLY PRICES (INPUTS)</t>
  </si>
  <si>
    <t>USDA report date</t>
  </si>
  <si>
    <t>USDA weaned pig $/hd</t>
  </si>
  <si>
    <t>Corn $/bu</t>
  </si>
  <si>
    <t>Soybean meal $/ton</t>
  </si>
  <si>
    <t>Lean hog futures $/cwt</t>
  </si>
  <si>
    <t>Hog basis $/cwt</t>
  </si>
  <si>
    <t>TIMING</t>
  </si>
  <si>
    <t>Avg marketing date</t>
  </si>
  <si>
    <t>CME contract</t>
  </si>
  <si>
    <t>PRICES PAID AND RECEIVED</t>
  </si>
  <si>
    <t>Corn $/bu paid</t>
  </si>
  <si>
    <t>Soybean meal $/ton paid</t>
  </si>
  <si>
    <t>PER PIG SOLD</t>
  </si>
  <si>
    <t>Revenue $/pig</t>
  </si>
  <si>
    <t>Weaned pig $/pig</t>
  </si>
  <si>
    <t>Feed $/pig</t>
  </si>
  <si>
    <t>Barn / facilities $/pig</t>
  </si>
  <si>
    <t>Other fixed costs $/pig</t>
  </si>
  <si>
    <t>Interest $/pig</t>
  </si>
  <si>
    <t>Checkoff $/pig</t>
  </si>
  <si>
    <t>Cost of production $/pig</t>
  </si>
  <si>
    <t>Margin $/pig</t>
  </si>
  <si>
    <t>Margin after debt service $/pig</t>
  </si>
  <si>
    <t>SUMMARY (MARGIN $/PIG)</t>
  </si>
  <si>
    <t>Average</t>
  </si>
  <si>
    <t>Best week</t>
  </si>
  <si>
    <t>Worst week</t>
  </si>
  <si>
    <t>Weeks profitable</t>
  </si>
  <si>
    <t>How to use this workbook</t>
  </si>
  <si>
    <t>A wean-to-finish group projection with live formulas. Built by the W2F projection dashboard v0.1.0; nothing in it is a pasted result.</t>
  </si>
  <si>
    <t>THREE STEPS</t>
  </si>
  <si>
    <t>1. Inputs</t>
  </si>
  <si>
    <t>Set the group (head, date, mortality), the weaned pig price, feed prices, barn, labor and other costs. Pick the feeding location from the list.</t>
  </si>
  <si>
    <t>2. Feed and Marketing</t>
  </si>
  <si>
    <t>Adjust the ration by phase and when the pigs sell (days, % of pigs, weight). Lean hog futures and basis are on Market Data.</t>
  </si>
  <si>
    <t>3. Dashboard</t>
  </si>
  <si>
    <t>Read the result: net per head, breakeven, the P&amp;L and the what-if grid. Change any blue cell and everything recalculates.</t>
  </si>
  <si>
    <t>CELL COLOURS</t>
  </si>
  <si>
    <t>1,234.00</t>
  </si>
  <si>
    <t>Input: blue text on cream. Type over it.</t>
  </si>
  <si>
    <t>Formula: black text. Leave it; it recalculates.</t>
  </si>
  <si>
    <t>($1,234)</t>
  </si>
  <si>
    <t>Negative numbers show in parentheses; a dash means zero.</t>
  </si>
  <si>
    <t>SHEETS</t>
  </si>
  <si>
    <t>Dashboard</t>
  </si>
  <si>
    <t>Results: KPI tiles, verdict, P&amp;L per head, key numbers, what-if grid.</t>
  </si>
  <si>
    <t>Every assumption in one place, with units and notes.</t>
  </si>
  <si>
    <t>Corn and meal basis, DDGS, barn rent and wage by location.</t>
  </si>
  <si>
    <t>Ration by phase; tons, bushels and cost for the group.</t>
  </si>
  <si>
    <t>Sale timing, contract, futures + basis + premium, revenue.</t>
  </si>
  <si>
    <t>Market Data</t>
  </si>
  <si>
    <t>Lean hog futures by contract; average basis by half-month; history.</t>
  </si>
  <si>
    <t>Every cost line: total, per head placed, per head sold, per cwt.</t>
  </si>
  <si>
    <t>Weekly Crush</t>
  </si>
  <si>
    <t>Margin per pig for each weekly USDA placement.</t>
  </si>
  <si>
    <t>TERMS</t>
  </si>
  <si>
    <t>Basis</t>
  </si>
  <si>
    <t>Local cash price minus futures. Hog basis = CME Lean Hog Index − futures.</t>
  </si>
  <si>
    <t>Breakeven</t>
  </si>
  <si>
    <t>Carcass price that covers every cost (net of checkoff).</t>
  </si>
  <si>
    <t>$/cwt carcass vs live</t>
  </si>
  <si>
    <t>Hog prices are per 100 lb carcass; live = carcass × yield.</t>
  </si>
  <si>
    <t>Contract month</t>
  </si>
  <si>
    <t>Days 1-14 of a contract month use that contract, else the next.</t>
  </si>
  <si>
    <t>Crush</t>
  </si>
  <si>
    <t>Margin of one weekly placement at that week's prices.</t>
  </si>
  <si>
    <t>Debt service</t>
  </si>
  <si>
    <t>Principal + term interest, below the operating margin.</t>
  </si>
  <si>
    <t>SOURCES</t>
  </si>
  <si>
    <t>USDA AMS National Direct Feeder Pig Report (2810), early weaned.</t>
  </si>
  <si>
    <t>Hog basis</t>
  </si>
  <si>
    <t>CME Lean Hog Index (USDA LM_HG201) minus lean hog futures.</t>
  </si>
  <si>
    <t>Futures</t>
  </si>
  <si>
    <t>CBOT corn and soybean meal, CME lean hogs (delayed quotes).</t>
  </si>
  <si>
    <t>Defaults from extension research (ISU, UMN); replace with your own.</t>
  </si>
  <si>
    <t>A projection, not a guarantee: prices, performance and costs will differ.</t>
  </si>
</sst>
</file>

<file path=xl/styles.xml><?xml version="1.0" encoding="utf-8"?>
<styleSheet xmlns="http://schemas.openxmlformats.org/spreadsheetml/2006/main">
  <numFmts count="11">
    <numFmt numFmtId="164" formatCode="$#,##0.00_);($#,##0.00);&quot;–&quot;_)"/>
    <numFmt numFmtId="165" formatCode="$#,##0_);($#,##0);&quot;–&quot;_)"/>
    <numFmt numFmtId="166" formatCode="0.0%;(0.0%);&quot;–&quot;"/>
    <numFmt numFmtId="167" formatCode="#,##0"/>
    <numFmt numFmtId="168" formatCode="#,##0.00_);(#,##0.00);&quot;–&quot;_)"/>
    <numFmt numFmtId="169" formatCode="&quot;+&quot;$0;&quot;−&quot;$0;$0"/>
    <numFmt numFmtId="170" formatCode="&quot;+&quot;$0.00;&quot;−&quot;$0.00;$0.00"/>
    <numFmt numFmtId="171" formatCode="mmm d, yyyy"/>
    <numFmt numFmtId="172" formatCode="#,##0.00"/>
    <numFmt numFmtId="173" formatCode="@"/>
    <numFmt numFmtId="174" formatCode="0.00&quot;%&quot;"/>
  </numFmts>
  <fonts count="15">
    <font>
      <sz val="11"/>
      <color theme="1"/>
      <name val="Calibri"/>
      <family val="2"/>
      <scheme val="minor"/>
    </font>
    <font>
      <b/>
      <sz val="18"/>
      <color rgb="FF1B2A41"/>
      <name val="Arial"/>
      <family val="2"/>
    </font>
    <font>
      <sz val="10"/>
      <color rgb="FF6B6B66"/>
      <name val="Arial"/>
      <family val="2"/>
    </font>
    <font>
      <b/>
      <sz val="9"/>
      <color rgb="FF1B2A41"/>
      <name val="Arial"/>
      <family val="2"/>
    </font>
    <font>
      <b/>
      <sz val="10"/>
      <color rgb="FF1A1A18"/>
      <name val="Arial"/>
      <family val="2"/>
    </font>
    <font>
      <sz val="9"/>
      <color rgb="FF6B6B66"/>
      <name val="Arial"/>
      <family val="2"/>
    </font>
    <font>
      <sz val="10"/>
      <color rgb="FF1F4ED8"/>
      <name val="Arial"/>
      <family val="2"/>
    </font>
    <font>
      <sz val="10"/>
      <color rgb="FF1A1A18"/>
      <name val="Arial"/>
      <family val="2"/>
    </font>
    <font>
      <u/>
      <sz val="10"/>
      <color rgb="FF2A78D6"/>
      <name val="Arial"/>
      <family val="2"/>
    </font>
    <font>
      <i/>
      <sz val="9"/>
      <color rgb="FF6B6B66"/>
      <name val="Arial"/>
      <family val="2"/>
    </font>
    <font>
      <b/>
      <sz val="9"/>
      <color rgb="FF6B6B66"/>
      <name val="Arial"/>
      <family val="2"/>
    </font>
    <font>
      <b/>
      <sz val="20"/>
      <color rgb="FF1A1A18"/>
      <name val="Arial"/>
      <family val="2"/>
    </font>
    <font>
      <b/>
      <sz val="11"/>
      <color rgb="FF1A1A18"/>
      <name val="Arial"/>
      <family val="2"/>
    </font>
    <font>
      <b/>
      <sz val="10"/>
      <color rgb="FFFFFFFF"/>
      <name val="Arial"/>
      <family val="2"/>
    </font>
    <font>
      <b/>
      <sz val="10"/>
      <color rgb="FF1F4ED8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5D1"/>
        <bgColor indexed="64"/>
      </patternFill>
    </fill>
    <fill>
      <patternFill patternType="solid">
        <fgColor rgb="FFF4F5F7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1B2A41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medium">
        <color rgb="FF1B2A41"/>
      </bottom>
      <diagonal/>
    </border>
    <border>
      <left style="thin">
        <color rgb="FFE6D49A"/>
      </left>
      <right style="thin">
        <color rgb="FFE6D49A"/>
      </right>
      <top style="thin">
        <color rgb="FFE6D49A"/>
      </top>
      <bottom style="thin">
        <color rgb="FFE6D49A"/>
      </bottom>
      <diagonal/>
    </border>
    <border>
      <left style="thin">
        <color rgb="FFD9D8D2"/>
      </left>
      <right style="thin">
        <color rgb="FFD9D8D2"/>
      </right>
      <top style="thin">
        <color rgb="FFD9D8D2"/>
      </top>
      <bottom style="thin">
        <color rgb="FFD9D8D2"/>
      </bottom>
      <diagonal/>
    </border>
    <border>
      <left style="thick">
        <color rgb="FFFFFFFF"/>
      </left>
      <right style="thick">
        <color rgb="FFFFFFFF"/>
      </right>
      <top style="thick">
        <color rgb="FFFFFFFF"/>
      </top>
      <bottom style="thick">
        <color rgb="FFFFFFFF"/>
      </bottom>
      <diagonal/>
    </border>
    <border>
      <left style="thin">
        <color rgb="FF1B2A41"/>
      </left>
      <right style="thin">
        <color rgb="FF1B2A41"/>
      </right>
      <top style="thin">
        <color rgb="FF1B2A41"/>
      </top>
      <bottom style="thin">
        <color rgb="FF1B2A41"/>
      </bottom>
      <diagonal/>
    </border>
    <border>
      <left/>
      <right/>
      <top/>
      <bottom style="thin">
        <color rgb="FFECEBE6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 style="double">
        <color auto="1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1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 wrapText="1"/>
    </xf>
    <xf numFmtId="0" fontId="6" fillId="2" borderId="2" xfId="0" applyFont="1" applyFill="1" applyBorder="1" applyAlignment="1">
      <alignment horizontal="center" vertical="center"/>
    </xf>
    <xf numFmtId="0" fontId="7" fillId="0" borderId="0" xfId="0" applyFont="1" applyAlignment="1">
      <alignment vertical="center"/>
    </xf>
    <xf numFmtId="0" fontId="7" fillId="0" borderId="3" xfId="0" applyFont="1" applyBorder="1" applyAlignment="1">
      <alignment horizontal="center" vertical="center"/>
    </xf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10" fillId="3" borderId="4" xfId="0" applyFont="1" applyFill="1" applyBorder="1" applyAlignment="1">
      <alignment horizontal="left" vertical="center" indent="1"/>
    </xf>
    <xf numFmtId="164" fontId="11" fillId="3" borderId="4" xfId="0" applyNumberFormat="1" applyFont="1" applyFill="1" applyBorder="1" applyAlignment="1">
      <alignment horizontal="left" vertical="center" indent="1"/>
    </xf>
    <xf numFmtId="165" fontId="11" fillId="3" borderId="4" xfId="0" applyNumberFormat="1" applyFont="1" applyFill="1" applyBorder="1" applyAlignment="1">
      <alignment horizontal="left" vertical="center" indent="1"/>
    </xf>
    <xf numFmtId="0" fontId="5" fillId="3" borderId="4" xfId="0" applyFont="1" applyFill="1" applyBorder="1" applyAlignment="1">
      <alignment horizontal="left" vertical="center" indent="1"/>
    </xf>
    <xf numFmtId="0" fontId="12" fillId="4" borderId="3" xfId="0" applyFont="1" applyFill="1" applyBorder="1" applyAlignment="1">
      <alignment horizontal="left" vertical="center" indent="1" wrapText="1"/>
    </xf>
    <xf numFmtId="0" fontId="13" fillId="5" borderId="5" xfId="0" applyFont="1" applyFill="1" applyBorder="1" applyAlignment="1">
      <alignment vertical="center" wrapText="1"/>
    </xf>
    <xf numFmtId="0" fontId="13" fillId="5" borderId="5" xfId="0" applyFont="1" applyFill="1" applyBorder="1" applyAlignment="1">
      <alignment horizontal="center" vertical="center" wrapText="1"/>
    </xf>
    <xf numFmtId="165" fontId="7" fillId="0" borderId="0" xfId="0" applyNumberFormat="1" applyFont="1" applyAlignment="1">
      <alignment vertical="center"/>
    </xf>
    <xf numFmtId="164" fontId="7" fillId="0" borderId="0" xfId="0" applyNumberFormat="1" applyFont="1" applyAlignment="1">
      <alignment vertical="center"/>
    </xf>
    <xf numFmtId="166" fontId="7" fillId="0" borderId="0" xfId="0" applyNumberFormat="1" applyFont="1" applyAlignment="1">
      <alignment vertical="center"/>
    </xf>
    <xf numFmtId="0" fontId="7" fillId="0" borderId="6" xfId="0" applyFont="1" applyBorder="1" applyAlignment="1">
      <alignment vertical="center"/>
    </xf>
    <xf numFmtId="167" fontId="4" fillId="0" borderId="6" xfId="0" applyNumberFormat="1" applyFont="1" applyBorder="1" applyAlignment="1">
      <alignment vertical="center"/>
    </xf>
    <xf numFmtId="0" fontId="7" fillId="0" borderId="0" xfId="0" applyFont="1" applyAlignment="1">
      <alignment horizontal="left" vertical="center" indent="1"/>
    </xf>
    <xf numFmtId="168" fontId="4" fillId="0" borderId="6" xfId="0" applyNumberFormat="1" applyFont="1" applyBorder="1" applyAlignment="1">
      <alignment vertical="center"/>
    </xf>
    <xf numFmtId="164" fontId="4" fillId="0" borderId="6" xfId="0" applyNumberFormat="1" applyFont="1" applyBorder="1" applyAlignment="1">
      <alignment vertical="center"/>
    </xf>
    <xf numFmtId="0" fontId="4" fillId="0" borderId="7" xfId="0" applyFont="1" applyBorder="1" applyAlignment="1">
      <alignment vertical="center"/>
    </xf>
    <xf numFmtId="165" fontId="4" fillId="0" borderId="7" xfId="0" applyNumberFormat="1" applyFont="1" applyBorder="1" applyAlignment="1">
      <alignment vertical="center"/>
    </xf>
    <xf numFmtId="164" fontId="4" fillId="0" borderId="7" xfId="0" applyNumberFormat="1" applyFont="1" applyBorder="1" applyAlignment="1">
      <alignment vertical="center"/>
    </xf>
    <xf numFmtId="166" fontId="4" fillId="0" borderId="7" xfId="0" applyNumberFormat="1" applyFont="1" applyBorder="1" applyAlignment="1">
      <alignment vertical="center"/>
    </xf>
    <xf numFmtId="0" fontId="4" fillId="0" borderId="8" xfId="0" applyFont="1" applyBorder="1" applyAlignment="1">
      <alignment vertical="center"/>
    </xf>
    <xf numFmtId="165" fontId="4" fillId="0" borderId="8" xfId="0" applyNumberFormat="1" applyFont="1" applyBorder="1" applyAlignment="1">
      <alignment vertical="center"/>
    </xf>
    <xf numFmtId="164" fontId="4" fillId="0" borderId="8" xfId="0" applyNumberFormat="1" applyFont="1" applyBorder="1" applyAlignment="1">
      <alignment vertical="center"/>
    </xf>
    <xf numFmtId="166" fontId="4" fillId="0" borderId="8" xfId="0" applyNumberFormat="1" applyFont="1" applyBorder="1" applyAlignment="1">
      <alignment vertical="center"/>
    </xf>
    <xf numFmtId="0" fontId="10" fillId="0" borderId="0" xfId="0" applyFont="1" applyAlignment="1">
      <alignment horizontal="center" vertical="center"/>
    </xf>
    <xf numFmtId="169" fontId="14" fillId="2" borderId="2" xfId="0" applyNumberFormat="1" applyFont="1" applyFill="1" applyBorder="1" applyAlignment="1">
      <alignment horizontal="center" vertical="center"/>
    </xf>
    <xf numFmtId="170" fontId="14" fillId="2" borderId="2" xfId="0" applyNumberFormat="1" applyFont="1" applyFill="1" applyBorder="1" applyAlignment="1">
      <alignment horizontal="center" vertical="center"/>
    </xf>
    <xf numFmtId="164" fontId="7" fillId="0" borderId="9" xfId="0" applyNumberFormat="1" applyFont="1" applyBorder="1" applyAlignment="1">
      <alignment horizontal="center" vertical="center"/>
    </xf>
    <xf numFmtId="167" fontId="6" fillId="2" borderId="2" xfId="0" applyNumberFormat="1" applyFont="1" applyFill="1" applyBorder="1" applyAlignment="1">
      <alignment vertical="center"/>
    </xf>
    <xf numFmtId="0" fontId="5" fillId="0" borderId="0" xfId="0" applyFont="1" applyAlignment="1">
      <alignment vertical="center"/>
    </xf>
    <xf numFmtId="171" fontId="6" fillId="2" borderId="2" xfId="0" applyNumberFormat="1" applyFont="1" applyFill="1" applyBorder="1" applyAlignment="1">
      <alignment horizontal="left" vertical="center"/>
    </xf>
    <xf numFmtId="172" fontId="6" fillId="2" borderId="2" xfId="0" applyNumberFormat="1" applyFont="1" applyFill="1" applyBorder="1" applyAlignment="1">
      <alignment vertical="center"/>
    </xf>
    <xf numFmtId="173" fontId="6" fillId="2" borderId="2" xfId="0" applyNumberFormat="1" applyFont="1" applyFill="1" applyBorder="1" applyAlignment="1">
      <alignment vertical="center"/>
    </xf>
    <xf numFmtId="174" fontId="6" fillId="2" borderId="2" xfId="0" applyNumberFormat="1" applyFont="1" applyFill="1" applyBorder="1" applyAlignment="1">
      <alignment vertical="center"/>
    </xf>
    <xf numFmtId="167" fontId="7" fillId="3" borderId="0" xfId="0" applyNumberFormat="1" applyFont="1" applyFill="1" applyAlignment="1">
      <alignment vertical="center"/>
    </xf>
    <xf numFmtId="168" fontId="7" fillId="3" borderId="0" xfId="0" applyNumberFormat="1" applyFont="1" applyFill="1" applyAlignment="1">
      <alignment vertical="center"/>
    </xf>
    <xf numFmtId="168" fontId="7" fillId="0" borderId="0" xfId="0" applyNumberFormat="1" applyFont="1" applyAlignment="1">
      <alignment vertical="center"/>
    </xf>
    <xf numFmtId="168" fontId="4" fillId="0" borderId="8" xfId="0" applyNumberFormat="1" applyFont="1" applyBorder="1" applyAlignment="1">
      <alignment vertical="center"/>
    </xf>
    <xf numFmtId="171" fontId="7" fillId="0" borderId="0" xfId="0" applyNumberFormat="1" applyFont="1" applyAlignment="1">
      <alignment horizontal="left" vertical="center"/>
    </xf>
    <xf numFmtId="0" fontId="7" fillId="0" borderId="0" xfId="0" applyFont="1" applyAlignment="1">
      <alignment horizontal="right" vertical="center"/>
    </xf>
    <xf numFmtId="167" fontId="7" fillId="0" borderId="0" xfId="0" applyNumberFormat="1" applyFont="1" applyAlignment="1">
      <alignment vertical="center"/>
    </xf>
  </cellXfs>
  <cellStyles count="1">
    <cellStyle name="Normal" xfId="0" builtinId="0"/>
  </cellStyles>
  <dxfs count="5">
    <dxf>
      <fill>
        <patternFill>
          <bgColor rgb="FFF8CBAD"/>
        </patternFill>
      </fill>
    </dxf>
    <dxf>
      <font>
        <color rgb="FFC73A3A"/>
      </font>
    </dxf>
    <dxf>
      <font>
        <color rgb="FF0A7D4F"/>
      </font>
    </dxf>
    <dxf>
      <font>
        <color rgb="FFC73A3A"/>
      </font>
      <fill>
        <patternFill>
          <bgColor rgb="FFFBECEC"/>
        </patternFill>
      </fill>
    </dxf>
    <dxf>
      <font>
        <color rgb="FF0A7D4F"/>
      </font>
      <fill>
        <patternFill>
          <bgColor rgb="FFE7F4E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autoTitleDeleted val="1"/>
    <c:plotArea>
      <c:layout/>
      <c:barChart>
        <c:barDir val="bar"/>
        <c:grouping val="clustered"/>
        <c:ser>
          <c:idx val="0"/>
          <c:order val="0"/>
          <c:tx>
            <c:v>Cost $/head sold</c:v>
          </c:tx>
          <c:spPr>
            <a:solidFill>
              <a:srgbClr val="2A78D6"/>
            </a:solidFill>
            <a:ln>
              <a:noFill/>
            </a:ln>
          </c:spPr>
          <c:dLbls>
            <c:numFmt formatCode="$#,##0.00" sourceLinked="0"/>
            <c:txPr>
              <a:bodyPr/>
              <a:lstStyle/>
              <a:p>
                <a:pPr>
                  <a:defRPr sz="800" baseline="0">
                    <a:solidFill>
                      <a:srgbClr val="6B6B66"/>
                    </a:solidFill>
                    <a:latin typeface="Arial"/>
                  </a:defRPr>
                </a:pPr>
                <a:endParaRPr lang="en-US"/>
              </a:p>
            </c:txPr>
            <c:showVal val="1"/>
          </c:dLbls>
          <c:cat>
            <c:strRef>
              <c:f>Dashboard!$B$14:$B$26</c:f>
              <c:strCache>
                <c:ptCount val="13"/>
                <c:pt idx="0">
                  <c:v>Weaned pigs</c:v>
                </c:pt>
                <c:pt idx="1">
                  <c:v>Feed</c:v>
                </c:pt>
                <c:pt idx="2">
                  <c:v>Barn / facilities</c:v>
                </c:pt>
                <c:pt idx="3">
                  <c:v>Labor</c:v>
                </c:pt>
                <c:pt idx="4">
                  <c:v>Vet / med</c:v>
                </c:pt>
                <c:pt idx="5">
                  <c:v>Utilities</c:v>
                </c:pt>
                <c:pt idx="6">
                  <c:v>Trucking to market</c:v>
                </c:pt>
                <c:pt idx="7">
                  <c:v>Insurance / misc</c:v>
                </c:pt>
                <c:pt idx="8">
                  <c:v>G&amp;A</c:v>
                </c:pt>
                <c:pt idx="9">
                  <c:v>Mortality ($/pig)</c:v>
                </c:pt>
                <c:pt idx="10">
                  <c:v>Other / (premiums)</c:v>
                </c:pt>
                <c:pt idx="11">
                  <c:v>Interest</c:v>
                </c:pt>
                <c:pt idx="12">
                  <c:v>Checkoff</c:v>
                </c:pt>
              </c:strCache>
            </c:strRef>
          </c:cat>
          <c:val>
            <c:numRef>
              <c:f>Dashboard!$D$14:$D$26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gapWidth val="55"/>
        <c:axId val="50010001"/>
        <c:axId val="50010002"/>
      </c:barChart>
      <c:catAx>
        <c:axId val="50010001"/>
        <c:scaling>
          <c:orientation val="maxMin"/>
        </c:scaling>
        <c:axPos val="l"/>
        <c:tickLblPos val="nextTo"/>
        <c:spPr>
          <a:ln>
            <a:solidFill>
              <a:srgbClr val="D9D8D2"/>
            </a:solidFill>
          </a:ln>
        </c:spPr>
        <c:txPr>
          <a:bodyPr/>
          <a:lstStyle/>
          <a:p>
            <a:pPr>
              <a:defRPr sz="9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t"/>
        <c:majorGridlines>
          <c:spPr>
            <a:ln>
              <a:solidFill>
                <a:srgbClr val="ECEBE6"/>
              </a:solidFill>
            </a:ln>
          </c:spPr>
        </c:majorGridlines>
        <c:numFmt formatCode="$#,##0" sourceLinked="0"/>
        <c:tickLblPos val="nextTo"/>
        <c:spPr>
          <a:ln>
            <a:noFill/>
          </a:ln>
        </c:spPr>
        <c:txPr>
          <a:bodyPr/>
          <a:lstStyle/>
          <a:p>
            <a:pPr>
              <a:defRPr sz="800" baseline="0">
                <a:solidFill>
                  <a:srgbClr val="6B6B66"/>
                </a:solidFill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  <c:spPr>
        <a:ln>
          <a:noFill/>
        </a:ln>
      </c:spPr>
    </c:plotArea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latin typeface="Arial"/>
              </a:defRPr>
            </a:pPr>
            <a:r>
              <a:rPr lang="en-US" sz="1100" baseline="0">
                <a:latin typeface="Arial"/>
              </a:rPr>
              <a:t>Margin per pig by report week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Margin $/pig</c:v>
          </c:tx>
          <c:spPr>
            <a:solidFill>
              <a:srgbClr val="2A78D6"/>
            </a:solidFill>
            <a:ln>
              <a:noFill/>
            </a:ln>
          </c:spPr>
          <c:invertIfNegative val="1"/>
          <c:cat>
            <c:numRef>
              <c:f>'Weekly Crush'!$B$12:$M$12</c:f>
              <c:numCache>
                <c:formatCode>General</c:formatCode>
                <c:ptCount val="12"/>
                <c:pt idx="0">
                  <c:v>46313</c:v>
                </c:pt>
                <c:pt idx="1">
                  <c:v>46306</c:v>
                </c:pt>
                <c:pt idx="2">
                  <c:v>46299</c:v>
                </c:pt>
                <c:pt idx="3">
                  <c:v>46292</c:v>
                </c:pt>
                <c:pt idx="4">
                  <c:v>46285</c:v>
                </c:pt>
                <c:pt idx="5">
                  <c:v>46278</c:v>
                </c:pt>
                <c:pt idx="6">
                  <c:v>46271</c:v>
                </c:pt>
                <c:pt idx="7">
                  <c:v>46264</c:v>
                </c:pt>
                <c:pt idx="8">
                  <c:v>46257</c:v>
                </c:pt>
                <c:pt idx="9">
                  <c:v>46250</c:v>
                </c:pt>
                <c:pt idx="10">
                  <c:v>46243</c:v>
                </c:pt>
                <c:pt idx="11">
                  <c:v>46236</c:v>
                </c:pt>
              </c:numCache>
            </c:numRef>
          </c:cat>
          <c:val>
            <c:numRef>
              <c:f>'Weekly Crush'!$B$39:$M$39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C73A3A"/>
                  </a:solidFill>
                </c14:spPr>
              </c14:invertSolidFillFmt>
            </c:ext>
          </c:extLst>
        </c:ser>
        <c:gapWidth val="50"/>
        <c:axId val="50020001"/>
        <c:axId val="50020002"/>
      </c:barChart>
      <c:catAx>
        <c:axId val="50020001"/>
        <c:scaling>
          <c:orientation val="maxMin"/>
        </c:scaling>
        <c:axPos val="b"/>
        <c:numFmt formatCode="mmm d" sourceLinked="0"/>
        <c:tickLblPos val="low"/>
        <c:spPr>
          <a:ln>
            <a:solidFill>
              <a:srgbClr val="D9D8D2"/>
            </a:solidFill>
          </a:ln>
        </c:spPr>
        <c:txPr>
          <a:bodyPr/>
          <a:lstStyle/>
          <a:p>
            <a:pPr>
              <a:defRPr sz="800" baseline="0">
                <a:solidFill>
                  <a:srgbClr val="6B6B66"/>
                </a:solidFill>
                <a:latin typeface="Arial"/>
              </a:defRPr>
            </a:pPr>
            <a:endParaRPr lang="en-US"/>
          </a:p>
        </c:txPr>
        <c:crossAx val="50020002"/>
        <c:crosses val="autoZero"/>
        <c:lblAlgn val="ctr"/>
        <c:lblOffset val="100"/>
      </c:catAx>
      <c:valAx>
        <c:axId val="50020002"/>
        <c:scaling>
          <c:orientation val="minMax"/>
        </c:scaling>
        <c:axPos val="r"/>
        <c:majorGridlines>
          <c:spPr>
            <a:ln>
              <a:solidFill>
                <a:srgbClr val="ECEBE6"/>
              </a:solidFill>
            </a:ln>
          </c:spPr>
        </c:majorGridlines>
        <c:numFmt formatCode="$#,##0" sourceLinked="0"/>
        <c:tickLblPos val="nextTo"/>
        <c:spPr>
          <a:ln>
            <a:noFill/>
          </a:ln>
        </c:spPr>
        <c:txPr>
          <a:bodyPr/>
          <a:lstStyle/>
          <a:p>
            <a:pPr>
              <a:defRPr sz="800" baseline="0">
                <a:solidFill>
                  <a:srgbClr val="6B6B66"/>
                </a:solidFill>
                <a:latin typeface="Arial"/>
              </a:defRPr>
            </a:pPr>
            <a:endParaRPr lang="en-US"/>
          </a:p>
        </c:txPr>
        <c:crossAx val="50020001"/>
        <c:crosses val="max"/>
        <c:crossBetween val="between"/>
      </c:valAx>
    </c:plotArea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32</xdr:row>
      <xdr:rowOff>57150</xdr:rowOff>
    </xdr:from>
    <xdr:to>
      <xdr:col>9</xdr:col>
      <xdr:colOff>238125</xdr:colOff>
      <xdr:row>48</xdr:row>
      <xdr:rowOff>152400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42</xdr:row>
      <xdr:rowOff>0</xdr:rowOff>
    </xdr:from>
    <xdr:to>
      <xdr:col>8</xdr:col>
      <xdr:colOff>523875</xdr:colOff>
      <xdr:row>57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5B6B82"/>
    <pageSetUpPr fitToPage="1"/>
  </sheetPr>
  <dimension ref="A1:C39"/>
  <sheetViews>
    <sheetView showGridLines="0" workbookViewId="0"/>
  </sheetViews>
  <sheetFormatPr defaultRowHeight="15"/>
  <cols>
    <col min="1" max="1" width="2.7109375" customWidth="1"/>
    <col min="2" max="2" width="26.7109375" customWidth="1"/>
    <col min="3" max="3" width="100.7109375" customWidth="1"/>
  </cols>
  <sheetData>
    <row r="1" spans="2:3" ht="30" customHeight="1">
      <c r="B1" s="1" t="s">
        <v>294</v>
      </c>
    </row>
    <row r="2" spans="2:3">
      <c r="B2" s="2" t="s">
        <v>295</v>
      </c>
    </row>
    <row r="5" spans="2:3">
      <c r="B5" s="3" t="s">
        <v>296</v>
      </c>
      <c r="C5" s="3"/>
    </row>
    <row r="6" spans="2:3" ht="28" customHeight="1">
      <c r="B6" s="4" t="s">
        <v>297</v>
      </c>
      <c r="C6" s="5" t="s">
        <v>298</v>
      </c>
    </row>
    <row r="7" spans="2:3" ht="28" customHeight="1">
      <c r="B7" s="4" t="s">
        <v>299</v>
      </c>
      <c r="C7" s="5" t="s">
        <v>300</v>
      </c>
    </row>
    <row r="8" spans="2:3" ht="28" customHeight="1">
      <c r="B8" s="4" t="s">
        <v>301</v>
      </c>
      <c r="C8" s="5" t="s">
        <v>302</v>
      </c>
    </row>
    <row r="10" spans="2:3">
      <c r="B10" s="3" t="s">
        <v>303</v>
      </c>
      <c r="C10" s="3"/>
    </row>
    <row r="11" spans="2:3">
      <c r="B11" s="6" t="s">
        <v>304</v>
      </c>
      <c r="C11" s="7" t="s">
        <v>305</v>
      </c>
    </row>
    <row r="12" spans="2:3">
      <c r="B12" s="8" t="s">
        <v>304</v>
      </c>
      <c r="C12" s="7" t="s">
        <v>306</v>
      </c>
    </row>
    <row r="13" spans="2:3">
      <c r="B13" s="8" t="s">
        <v>307</v>
      </c>
      <c r="C13" s="7" t="s">
        <v>308</v>
      </c>
    </row>
    <row r="15" spans="2:3">
      <c r="B15" s="3" t="s">
        <v>309</v>
      </c>
      <c r="C15" s="3"/>
    </row>
    <row r="16" spans="2:3">
      <c r="B16" s="9" t="s">
        <v>310</v>
      </c>
      <c r="C16" s="7" t="s">
        <v>311</v>
      </c>
    </row>
    <row r="17" spans="2:3">
      <c r="B17" s="9" t="s">
        <v>0</v>
      </c>
      <c r="C17" s="7" t="s">
        <v>312</v>
      </c>
    </row>
    <row r="18" spans="2:3">
      <c r="B18" s="9" t="s">
        <v>104</v>
      </c>
      <c r="C18" s="7" t="s">
        <v>313</v>
      </c>
    </row>
    <row r="19" spans="2:3">
      <c r="B19" s="9" t="s">
        <v>221</v>
      </c>
      <c r="C19" s="7" t="s">
        <v>314</v>
      </c>
    </row>
    <row r="20" spans="2:3">
      <c r="B20" s="9" t="s">
        <v>200</v>
      </c>
      <c r="C20" s="7" t="s">
        <v>315</v>
      </c>
    </row>
    <row r="21" spans="2:3">
      <c r="B21" s="9" t="s">
        <v>316</v>
      </c>
      <c r="C21" s="7" t="s">
        <v>317</v>
      </c>
    </row>
    <row r="22" spans="2:3">
      <c r="B22" s="9" t="s">
        <v>215</v>
      </c>
      <c r="C22" s="7" t="s">
        <v>318</v>
      </c>
    </row>
    <row r="23" spans="2:3">
      <c r="B23" s="9" t="s">
        <v>319</v>
      </c>
      <c r="C23" s="7" t="s">
        <v>320</v>
      </c>
    </row>
    <row r="25" spans="2:3">
      <c r="B25" s="3" t="s">
        <v>321</v>
      </c>
      <c r="C25" s="3"/>
    </row>
    <row r="26" spans="2:3">
      <c r="B26" s="4" t="s">
        <v>322</v>
      </c>
      <c r="C26" s="7" t="s">
        <v>323</v>
      </c>
    </row>
    <row r="27" spans="2:3">
      <c r="B27" s="4" t="s">
        <v>324</v>
      </c>
      <c r="C27" s="7" t="s">
        <v>325</v>
      </c>
    </row>
    <row r="28" spans="2:3">
      <c r="B28" s="4" t="s">
        <v>326</v>
      </c>
      <c r="C28" s="7" t="s">
        <v>327</v>
      </c>
    </row>
    <row r="29" spans="2:3">
      <c r="B29" s="4" t="s">
        <v>328</v>
      </c>
      <c r="C29" s="7" t="s">
        <v>329</v>
      </c>
    </row>
    <row r="30" spans="2:3">
      <c r="B30" s="4" t="s">
        <v>330</v>
      </c>
      <c r="C30" s="7" t="s">
        <v>331</v>
      </c>
    </row>
    <row r="31" spans="2:3">
      <c r="B31" s="4" t="s">
        <v>332</v>
      </c>
      <c r="C31" s="7" t="s">
        <v>333</v>
      </c>
    </row>
    <row r="33" spans="2:3">
      <c r="B33" s="3" t="s">
        <v>334</v>
      </c>
      <c r="C33" s="3"/>
    </row>
    <row r="34" spans="2:3">
      <c r="B34" s="4" t="s">
        <v>220</v>
      </c>
      <c r="C34" s="7" t="s">
        <v>335</v>
      </c>
    </row>
    <row r="35" spans="2:3">
      <c r="B35" s="4" t="s">
        <v>336</v>
      </c>
      <c r="C35" s="7" t="s">
        <v>337</v>
      </c>
    </row>
    <row r="36" spans="2:3">
      <c r="B36" s="4" t="s">
        <v>338</v>
      </c>
      <c r="C36" s="7" t="s">
        <v>339</v>
      </c>
    </row>
    <row r="37" spans="2:3">
      <c r="B37" s="4" t="s">
        <v>215</v>
      </c>
      <c r="C37" s="7" t="s">
        <v>340</v>
      </c>
    </row>
    <row r="39" spans="2:3">
      <c r="B39" s="10" t="s">
        <v>341</v>
      </c>
    </row>
  </sheetData>
  <hyperlinks>
    <hyperlink ref="B16" location="'Dashboard'!A1" display="Dashboard"/>
    <hyperlink ref="B17" location="'Inputs'!A1" display="Inputs"/>
    <hyperlink ref="B18" location="'Locations'!A1" display="Locations"/>
    <hyperlink ref="B19" location="'Feed'!A1" display="Feed"/>
    <hyperlink ref="B20" location="'Marketing'!A1" display="Marketing"/>
    <hyperlink ref="B21" location="'Market Data'!A1" display="Market Data"/>
    <hyperlink ref="B22" location="'Costs'!A1" display="Costs"/>
    <hyperlink ref="B23" location="'Weekly Crush'!A1" display="Weekly Crush"/>
  </hyperlinks>
  <pageMargins left="0.4" right="0.4" top="0.6" bottom="0.6" header="0.3" footer="0.3"/>
  <pageSetup paperSize="1" orientation="portrait"/>
  <headerFooter>
    <oddHeader>&amp;L&amp;8&amp;K6B6B66Wean-to-Finish Group Projection&amp;R&amp;8&amp;K6B6B66&amp;A</oddHeader>
    <oddFooter>&amp;L&amp;8&amp;K6B6B66Printed &amp;D&amp;R&amp;8&amp;K6B6B66Page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2A41"/>
    <pageSetUpPr fitToPage="1"/>
  </sheetPr>
  <dimension ref="A1:J58"/>
  <sheetViews>
    <sheetView showGridLines="0" tabSelected="1" workbookViewId="0"/>
  </sheetViews>
  <sheetFormatPr defaultRowHeight="15" x14ac:dyDescent="0.25"/>
  <cols>
    <col min="1" max="1" width="2.7109375" customWidth="1"/>
    <col min="2" max="2" width="30.7109375" customWidth="1"/>
    <col min="3" max="10" width="14.28515625" customWidth="1"/>
    <col min="11" max="11" width="2.7109375" customWidth="1"/>
  </cols>
  <sheetData>
    <row r="1" spans="2:10" ht="30" customHeight="1" x14ac:dyDescent="0.25">
      <c r="B1" s="1" t="s">
        <v>231</v>
      </c>
    </row>
    <row r="2" spans="2:10" x14ac:dyDescent="0.25">
      <c r="B2" s="2">
        <f>Location&amp;"   ·   "&amp;TEXT(HeadPlaced,"#,##0")&amp;" head placed "&amp;TEXT(PlacementDate,"mmm d, yyyy")&amp;"   ·   sold at about "&amp;TEXT(AvgDays,"0")&amp;" days"</f>
        <v>0</v>
      </c>
    </row>
    <row r="4" spans="2:10" ht="22" customHeight="1" x14ac:dyDescent="0.25">
      <c r="B4" s="11" t="s">
        <v>232</v>
      </c>
      <c r="C4" s="11" t="s">
        <v>233</v>
      </c>
      <c r="D4" s="11"/>
      <c r="E4" s="11" t="s">
        <v>234</v>
      </c>
      <c r="F4" s="11"/>
      <c r="G4" s="11" t="s">
        <v>235</v>
      </c>
      <c r="H4" s="11"/>
      <c r="I4" s="11" t="s">
        <v>236</v>
      </c>
      <c r="J4" s="11"/>
    </row>
    <row r="5" spans="2:10" ht="36" customHeight="1" x14ac:dyDescent="0.25">
      <c r="B5" s="12">
        <f>(GrossRevenue-TotalCost)/HeadSold</f>
        <v>0</v>
      </c>
      <c r="C5" s="13">
        <f>GrossRevenue-TotalCost</f>
        <v>0</v>
      </c>
      <c r="D5" s="13"/>
      <c r="E5" s="12">
        <f>(TotalCost-CheckoffCost)/(CarcassCwt*(1-CheckoffPct/100))</f>
        <v>0</v>
      </c>
      <c r="F5" s="12"/>
      <c r="G5" s="12">
        <f>GrossRevenue/CarcassCwt</f>
        <v>0</v>
      </c>
      <c r="H5" s="12"/>
      <c r="I5" s="12">
        <f>TotalCost/HeadSold</f>
        <v>0</v>
      </c>
      <c r="J5" s="12"/>
    </row>
    <row r="6" spans="2:10" ht="22" customHeight="1" x14ac:dyDescent="0.25">
      <c r="B6" s="14">
        <f>IF(KpiNetHd&gt;=0,"Projected profit","Projected loss")</f>
        <v>0</v>
      </c>
      <c r="C6" s="14">
        <f>TEXT(HeadSold,"#,##0")&amp;" head sold"</f>
        <v>0</v>
      </c>
      <c r="D6" s="14"/>
      <c r="E6" s="14">
        <f>TEXT(KpiBreakeven*YieldPct/100,"$#,##0.00")&amp;" /cwt live"</f>
        <v>0</v>
      </c>
      <c r="F6" s="14"/>
      <c r="G6" s="14">
        <f>TEXT(ABS(KpiAvgPrice-KpiBreakeven),"$#,##0.00")&amp;IF(KpiAvgPrice&gt;=KpiBreakeven," above"," below")&amp;" breakeven"</f>
        <v>0</v>
      </c>
      <c r="H6" s="14"/>
      <c r="I6" s="14">
        <f>"Revenue "&amp;TEXT(KpiRevHd,"$#,##0.00")&amp;" /head"</f>
        <v>0</v>
      </c>
      <c r="J6" s="14"/>
    </row>
    <row r="8" spans="2:10" ht="36" customHeight="1" x14ac:dyDescent="0.25">
      <c r="B8" s="15">
        <f>IF(KpiNetHd&gt;=0,"Projected PROFIT of "&amp;TEXT(KpiNetHd,"$#,##0.00"),"Projected LOSS of "&amp;TEXT(-KpiNetHd,"$#,##0.00"))&amp;" per head sold ("&amp;TEXT(KpiNet,"$#,##0;($#,##0)")&amp;" for the group). The average sale price of "&amp;TEXT(KpiAvgPrice,"$#,##0.00")&amp;"/cwt carcass is "&amp;TEXT(ABS(KpiAvgPrice-KpiBreakeven),"$#,##0.00")&amp;IF(KpiAvgPrice&gt;=KpiBreakeven," above"," below")&amp;" the breakeven of "&amp;TEXT(KpiBreakeven,"$#,##0.00")&amp;"."</f>
        <v>0</v>
      </c>
      <c r="C8" s="15"/>
      <c r="D8" s="15"/>
      <c r="E8" s="15"/>
      <c r="F8" s="15"/>
      <c r="G8" s="15"/>
      <c r="H8" s="15"/>
      <c r="I8" s="15"/>
      <c r="J8" s="15"/>
    </row>
    <row r="10" spans="2:10" x14ac:dyDescent="0.25">
      <c r="B10" s="3" t="s">
        <v>237</v>
      </c>
      <c r="C10" s="3"/>
      <c r="D10" s="3"/>
      <c r="E10" s="3"/>
      <c r="F10" s="3"/>
      <c r="H10" s="3" t="s">
        <v>238</v>
      </c>
      <c r="I10" s="3"/>
      <c r="J10" s="3"/>
    </row>
    <row r="11" spans="2:10" ht="30" customHeight="1" x14ac:dyDescent="0.25">
      <c r="B11" s="16"/>
      <c r="C11" s="17" t="s">
        <v>218</v>
      </c>
      <c r="D11" s="17" t="s">
        <v>69</v>
      </c>
      <c r="E11" s="17" t="s">
        <v>82</v>
      </c>
      <c r="F11" s="17" t="s">
        <v>239</v>
      </c>
      <c r="H11" s="16"/>
      <c r="I11" s="16"/>
      <c r="J11" s="17" t="s">
        <v>245</v>
      </c>
    </row>
    <row r="12" spans="2:10" x14ac:dyDescent="0.25">
      <c r="B12" s="4" t="s">
        <v>240</v>
      </c>
      <c r="C12" s="18">
        <f>GrossRevenue</f>
        <v>0</v>
      </c>
      <c r="D12" s="19">
        <f>GrossRevenue/HeadSold</f>
        <v>0</v>
      </c>
      <c r="E12" s="19">
        <f>GrossRevenue/CarcassCwt</f>
        <v>0</v>
      </c>
      <c r="F12" s="20">
        <f>IF(GrossRevenue=0,0,1)</f>
        <v>0</v>
      </c>
      <c r="H12" s="21" t="s">
        <v>5</v>
      </c>
      <c r="I12" s="21"/>
      <c r="J12" s="22">
        <f>HeadPlaced</f>
        <v>0</v>
      </c>
    </row>
    <row r="13" spans="2:10" x14ac:dyDescent="0.25">
      <c r="B13" s="10" t="s">
        <v>241</v>
      </c>
      <c r="H13" s="21" t="s">
        <v>101</v>
      </c>
      <c r="I13" s="21"/>
      <c r="J13" s="22">
        <f>HeadSold</f>
        <v>0</v>
      </c>
    </row>
    <row r="14" spans="2:10" x14ac:dyDescent="0.25">
      <c r="B14" s="23" t="s">
        <v>220</v>
      </c>
      <c r="C14" s="18">
        <f>CostPigs</f>
        <v>0</v>
      </c>
      <c r="D14" s="19">
        <f>CostPigs/HeadSold</f>
        <v>0</v>
      </c>
      <c r="E14" s="19">
        <f>CostPigs/CarcassCwt</f>
        <v>0</v>
      </c>
      <c r="F14" s="20">
        <f>IF(GrossRevenue=0,0,CostPigs/GrossRevenue)</f>
        <v>0</v>
      </c>
      <c r="H14" s="21" t="s">
        <v>246</v>
      </c>
      <c r="I14" s="21"/>
      <c r="J14" s="22">
        <f>AvgDays</f>
        <v>0</v>
      </c>
    </row>
    <row r="15" spans="2:10" x14ac:dyDescent="0.25">
      <c r="B15" s="23" t="s">
        <v>221</v>
      </c>
      <c r="C15" s="18">
        <f>CostFeed</f>
        <v>0</v>
      </c>
      <c r="D15" s="19">
        <f>CostFeed/HeadSold</f>
        <v>0</v>
      </c>
      <c r="E15" s="19">
        <f>CostFeed/CarcassCwt</f>
        <v>0</v>
      </c>
      <c r="F15" s="20">
        <f>IF(GrossRevenue=0,0,CostFeed/GrossRevenue)</f>
        <v>0</v>
      </c>
      <c r="H15" s="21" t="s">
        <v>247</v>
      </c>
      <c r="I15" s="21"/>
      <c r="J15" s="24">
        <f>IF(LiveCwt*100-HeadPlaced*WeanWeight&lt;=0,"n/a",FeedTons*2000/(LiveCwt*100-HeadPlaced*WeanWeight))</f>
        <v>0</v>
      </c>
    </row>
    <row r="16" spans="2:10" x14ac:dyDescent="0.25">
      <c r="B16" s="23" t="s">
        <v>222</v>
      </c>
      <c r="C16" s="18">
        <f>CostBarn</f>
        <v>0</v>
      </c>
      <c r="D16" s="19">
        <f>CostBarn/HeadSold</f>
        <v>0</v>
      </c>
      <c r="E16" s="19">
        <f>CostBarn/CarcassCwt</f>
        <v>0</v>
      </c>
      <c r="F16" s="20">
        <f>IF(GrossRevenue=0,0,CostBarn/GrossRevenue)</f>
        <v>0</v>
      </c>
      <c r="H16" s="21" t="s">
        <v>248</v>
      </c>
      <c r="I16" s="21"/>
      <c r="J16" s="25">
        <f>WeanPrice</f>
        <v>0</v>
      </c>
    </row>
    <row r="17" spans="2:10" x14ac:dyDescent="0.25">
      <c r="B17" s="23" t="s">
        <v>223</v>
      </c>
      <c r="C17" s="18">
        <f>CostLabor</f>
        <v>0</v>
      </c>
      <c r="D17" s="19">
        <f>CostLabor/HeadSold</f>
        <v>0</v>
      </c>
      <c r="E17" s="19">
        <f>CostLabor/CarcassCwt</f>
        <v>0</v>
      </c>
      <c r="F17" s="20">
        <f>IF(GrossRevenue=0,0,CostLabor/GrossRevenue)</f>
        <v>0</v>
      </c>
      <c r="H17" s="21" t="s">
        <v>249</v>
      </c>
      <c r="I17" s="21"/>
      <c r="J17" s="25">
        <f>CornCash</f>
        <v>0</v>
      </c>
    </row>
    <row r="18" spans="2:10" x14ac:dyDescent="0.25">
      <c r="B18" s="23" t="s">
        <v>224</v>
      </c>
      <c r="C18" s="18">
        <f>CostVet</f>
        <v>0</v>
      </c>
      <c r="D18" s="19">
        <f>CostVet/HeadSold</f>
        <v>0</v>
      </c>
      <c r="E18" s="19">
        <f>CostVet/CarcassCwt</f>
        <v>0</v>
      </c>
      <c r="F18" s="20">
        <f>IF(GrossRevenue=0,0,CostVet/GrossRevenue)</f>
        <v>0</v>
      </c>
      <c r="H18" s="21" t="s">
        <v>108</v>
      </c>
      <c r="I18" s="21"/>
      <c r="J18" s="24">
        <f>CornBasis</f>
        <v>0</v>
      </c>
    </row>
    <row r="19" spans="2:10" x14ac:dyDescent="0.25">
      <c r="B19" s="23" t="s">
        <v>225</v>
      </c>
      <c r="C19" s="18">
        <f>CostUtilities</f>
        <v>0</v>
      </c>
      <c r="D19" s="19">
        <f>CostUtilities/HeadSold</f>
        <v>0</v>
      </c>
      <c r="E19" s="19">
        <f>CostUtilities/CarcassCwt</f>
        <v>0</v>
      </c>
      <c r="F19" s="20">
        <f>IF(GrossRevenue=0,0,CostUtilities/GrossRevenue)</f>
        <v>0</v>
      </c>
      <c r="H19" s="21" t="s">
        <v>250</v>
      </c>
      <c r="I19" s="21"/>
      <c r="J19" s="25">
        <f>SbmCash</f>
        <v>0</v>
      </c>
    </row>
    <row r="20" spans="2:10" x14ac:dyDescent="0.25">
      <c r="B20" s="23" t="s">
        <v>68</v>
      </c>
      <c r="C20" s="18">
        <f>CostTrucking</f>
        <v>0</v>
      </c>
      <c r="D20" s="19">
        <f>CostTrucking/HeadSold</f>
        <v>0</v>
      </c>
      <c r="E20" s="19">
        <f>CostTrucking/CarcassCwt</f>
        <v>0</v>
      </c>
      <c r="F20" s="20">
        <f>IF(GrossRevenue=0,0,CostTrucking/GrossRevenue)</f>
        <v>0</v>
      </c>
      <c r="H20" s="21" t="s">
        <v>251</v>
      </c>
      <c r="I20" s="21"/>
      <c r="J20" s="24">
        <f>SbmBasis</f>
        <v>0</v>
      </c>
    </row>
    <row r="21" spans="2:10" x14ac:dyDescent="0.25">
      <c r="B21" s="23" t="s">
        <v>70</v>
      </c>
      <c r="C21" s="18">
        <f>CostInsMisc</f>
        <v>0</v>
      </c>
      <c r="D21" s="19">
        <f>CostInsMisc/HeadSold</f>
        <v>0</v>
      </c>
      <c r="E21" s="19">
        <f>CostInsMisc/CarcassCwt</f>
        <v>0</v>
      </c>
      <c r="F21" s="20">
        <f>IF(GrossRevenue=0,0,CostInsMisc/GrossRevenue)</f>
        <v>0</v>
      </c>
      <c r="H21" s="21" t="s">
        <v>110</v>
      </c>
      <c r="I21" s="21"/>
      <c r="J21" s="25">
        <f>DdgsPrice</f>
        <v>0</v>
      </c>
    </row>
    <row r="22" spans="2:10" x14ac:dyDescent="0.25">
      <c r="B22" s="23" t="s">
        <v>71</v>
      </c>
      <c r="C22" s="18">
        <f>CostGA</f>
        <v>0</v>
      </c>
      <c r="D22" s="19">
        <f>CostGA/HeadSold</f>
        <v>0</v>
      </c>
      <c r="E22" s="19">
        <f>CostGA/CarcassCwt</f>
        <v>0</v>
      </c>
      <c r="F22" s="20">
        <f>IF(GrossRevenue=0,0,CostGA/GrossRevenue)</f>
        <v>0</v>
      </c>
      <c r="H22" s="21" t="s">
        <v>252</v>
      </c>
      <c r="I22" s="21"/>
      <c r="J22" s="25">
        <f>KpiBreakeven*YieldPct/100</f>
        <v>0</v>
      </c>
    </row>
    <row r="23" spans="2:10" x14ac:dyDescent="0.25">
      <c r="B23" s="23" t="s">
        <v>226</v>
      </c>
      <c r="C23" s="18">
        <f>CostMortality</f>
        <v>0</v>
      </c>
      <c r="D23" s="19">
        <f>CostMortality/HeadSold</f>
        <v>0</v>
      </c>
      <c r="E23" s="19">
        <f>CostMortality/CarcassCwt</f>
        <v>0</v>
      </c>
      <c r="F23" s="20">
        <f>IF(GrossRevenue=0,0,CostMortality/GrossRevenue)</f>
        <v>0</v>
      </c>
      <c r="H23" s="21" t="s">
        <v>253</v>
      </c>
      <c r="I23" s="21"/>
      <c r="J23" s="24">
        <f>FeedTons</f>
        <v>0</v>
      </c>
    </row>
    <row r="24" spans="2:10" x14ac:dyDescent="0.25">
      <c r="B24" s="23" t="s">
        <v>227</v>
      </c>
      <c r="C24" s="18">
        <f>CostOther</f>
        <v>0</v>
      </c>
      <c r="D24" s="19">
        <f>CostOther/HeadSold</f>
        <v>0</v>
      </c>
      <c r="E24" s="19">
        <f>CostOther/CarcassCwt</f>
        <v>0</v>
      </c>
      <c r="F24" s="20">
        <f>IF(GrossRevenue=0,0,CostOther/GrossRevenue)</f>
        <v>0</v>
      </c>
    </row>
    <row r="25" spans="2:10" x14ac:dyDescent="0.25">
      <c r="B25" s="23" t="s">
        <v>228</v>
      </c>
      <c r="C25" s="18">
        <f>CostInterest</f>
        <v>0</v>
      </c>
      <c r="D25" s="19">
        <f>CostInterest/HeadSold</f>
        <v>0</v>
      </c>
      <c r="E25" s="19">
        <f>CostInterest/CarcassCwt</f>
        <v>0</v>
      </c>
      <c r="F25" s="20">
        <f>IF(GrossRevenue=0,0,CostInterest/GrossRevenue)</f>
        <v>0</v>
      </c>
    </row>
    <row r="26" spans="2:10" x14ac:dyDescent="0.25">
      <c r="B26" s="23" t="s">
        <v>229</v>
      </c>
      <c r="C26" s="18">
        <f>CostCheckoff</f>
        <v>0</v>
      </c>
      <c r="D26" s="19">
        <f>CostCheckoff/HeadSold</f>
        <v>0</v>
      </c>
      <c r="E26" s="19">
        <f>CostCheckoff/CarcassCwt</f>
        <v>0</v>
      </c>
      <c r="F26" s="20">
        <f>IF(GrossRevenue=0,0,CostCheckoff/GrossRevenue)</f>
        <v>0</v>
      </c>
    </row>
    <row r="27" spans="2:10" x14ac:dyDescent="0.25">
      <c r="B27" s="26" t="s">
        <v>230</v>
      </c>
      <c r="C27" s="27">
        <f>TotalCost</f>
        <v>0</v>
      </c>
      <c r="D27" s="28">
        <f>TotalCost/HeadSold</f>
        <v>0</v>
      </c>
      <c r="E27" s="28">
        <f>TotalCost/CarcassCwt</f>
        <v>0</v>
      </c>
      <c r="F27" s="29">
        <f>IF(GrossRevenue=0,0,TotalCost/GrossRevenue)</f>
        <v>0</v>
      </c>
    </row>
    <row r="28" spans="2:10" x14ac:dyDescent="0.25">
      <c r="B28" s="30" t="s">
        <v>242</v>
      </c>
      <c r="C28" s="31">
        <f>KpiNet</f>
        <v>0</v>
      </c>
      <c r="D28" s="32">
        <f>KpiNetHd</f>
        <v>0</v>
      </c>
      <c r="E28" s="32">
        <f>KpiNet/CarcassCwt</f>
        <v>0</v>
      </c>
      <c r="F28" s="33">
        <f>IF(GrossRevenue=0,0,KpiNet/GrossRevenue)</f>
        <v>0</v>
      </c>
    </row>
    <row r="29" spans="2:10" x14ac:dyDescent="0.25">
      <c r="B29" s="23" t="s">
        <v>243</v>
      </c>
      <c r="C29" s="18">
        <f>HeadSold*(Principal+TermInterest)</f>
        <v>0</v>
      </c>
      <c r="D29" s="19">
        <f>Principal+TermInterest</f>
        <v>0</v>
      </c>
    </row>
    <row r="30" spans="2:10" x14ac:dyDescent="0.25">
      <c r="B30" s="4" t="s">
        <v>244</v>
      </c>
      <c r="C30" s="18">
        <f>KpiNet-KpiDebt</f>
        <v>0</v>
      </c>
      <c r="D30" s="19">
        <f>(GrossRevenue-TotalCost)/HeadSold-(Principal+TermInterest)</f>
        <v>0</v>
      </c>
    </row>
    <row r="32" spans="2:10" x14ac:dyDescent="0.25">
      <c r="B32" s="3" t="s">
        <v>236</v>
      </c>
      <c r="C32" s="3"/>
      <c r="D32" s="3"/>
      <c r="E32" s="3"/>
      <c r="F32" s="3"/>
      <c r="G32" s="3"/>
      <c r="H32" s="3"/>
      <c r="I32" s="3"/>
      <c r="J32" s="3"/>
    </row>
    <row r="51" spans="2:10" x14ac:dyDescent="0.25">
      <c r="B51" s="3" t="s">
        <v>254</v>
      </c>
      <c r="C51" s="3"/>
      <c r="D51" s="3"/>
      <c r="E51" s="3"/>
      <c r="F51" s="3"/>
      <c r="G51" s="3"/>
      <c r="H51" s="3"/>
      <c r="I51" s="3"/>
      <c r="J51" s="3"/>
    </row>
    <row r="52" spans="2:10" ht="30" customHeight="1" x14ac:dyDescent="0.25">
      <c r="B52" s="34" t="s">
        <v>255</v>
      </c>
      <c r="C52" s="35">
        <v>-10</v>
      </c>
      <c r="D52" s="35">
        <v>-5</v>
      </c>
      <c r="E52" s="35">
        <v>0</v>
      </c>
      <c r="F52" s="35">
        <v>5</v>
      </c>
      <c r="G52" s="35">
        <v>10</v>
      </c>
    </row>
    <row r="53" spans="2:10" ht="22" customHeight="1" x14ac:dyDescent="0.25">
      <c r="B53" s="36">
        <v>-0.5</v>
      </c>
      <c r="C53" s="37">
        <f>KpiNetHd+(C$52*(1-HogHedgePct/100)*CarcassCwt*(1-CheckoffPct/100)-$B53*(1-CornHedgePct/100)*FeedCornBu*(1+IF(InterestMode="annual rate",InterestPct/100*AvgDays/365*0.5,0)))/HeadSold</f>
        <v>0</v>
      </c>
      <c r="D53" s="37">
        <f>KpiNetHd+(D$52*(1-HogHedgePct/100)*CarcassCwt*(1-CheckoffPct/100)-$B53*(1-CornHedgePct/100)*FeedCornBu*(1+IF(InterestMode="annual rate",InterestPct/100*AvgDays/365*0.5,0)))/HeadSold</f>
        <v>0</v>
      </c>
      <c r="E53" s="37">
        <f>KpiNetHd+(E$52*(1-HogHedgePct/100)*CarcassCwt*(1-CheckoffPct/100)-$B53*(1-CornHedgePct/100)*FeedCornBu*(1+IF(InterestMode="annual rate",InterestPct/100*AvgDays/365*0.5,0)))/HeadSold</f>
        <v>0</v>
      </c>
      <c r="F53" s="37">
        <f>KpiNetHd+(F$52*(1-HogHedgePct/100)*CarcassCwt*(1-CheckoffPct/100)-$B53*(1-CornHedgePct/100)*FeedCornBu*(1+IF(InterestMode="annual rate",InterestPct/100*AvgDays/365*0.5,0)))/HeadSold</f>
        <v>0</v>
      </c>
      <c r="G53" s="37">
        <f>KpiNetHd+(G$52*(1-HogHedgePct/100)*CarcassCwt*(1-CheckoffPct/100)-$B53*(1-CornHedgePct/100)*FeedCornBu*(1+IF(InterestMode="annual rate",InterestPct/100*AvgDays/365*0.5,0)))/HeadSold</f>
        <v>0</v>
      </c>
    </row>
    <row r="54" spans="2:10" ht="22" customHeight="1" x14ac:dyDescent="0.25">
      <c r="B54" s="36">
        <v>-0.25</v>
      </c>
      <c r="C54" s="37">
        <f>KpiNetHd+(C$52*(1-HogHedgePct/100)*CarcassCwt*(1-CheckoffPct/100)-$B54*(1-CornHedgePct/100)*FeedCornBu*(1+IF(InterestMode="annual rate",InterestPct/100*AvgDays/365*0.5,0)))/HeadSold</f>
        <v>0</v>
      </c>
      <c r="D54" s="37">
        <f>KpiNetHd+(D$52*(1-HogHedgePct/100)*CarcassCwt*(1-CheckoffPct/100)-$B54*(1-CornHedgePct/100)*FeedCornBu*(1+IF(InterestMode="annual rate",InterestPct/100*AvgDays/365*0.5,0)))/HeadSold</f>
        <v>0</v>
      </c>
      <c r="E54" s="37">
        <f>KpiNetHd+(E$52*(1-HogHedgePct/100)*CarcassCwt*(1-CheckoffPct/100)-$B54*(1-CornHedgePct/100)*FeedCornBu*(1+IF(InterestMode="annual rate",InterestPct/100*AvgDays/365*0.5,0)))/HeadSold</f>
        <v>0</v>
      </c>
      <c r="F54" s="37">
        <f>KpiNetHd+(F$52*(1-HogHedgePct/100)*CarcassCwt*(1-CheckoffPct/100)-$B54*(1-CornHedgePct/100)*FeedCornBu*(1+IF(InterestMode="annual rate",InterestPct/100*AvgDays/365*0.5,0)))/HeadSold</f>
        <v>0</v>
      </c>
      <c r="G54" s="37">
        <f>KpiNetHd+(G$52*(1-HogHedgePct/100)*CarcassCwt*(1-CheckoffPct/100)-$B54*(1-CornHedgePct/100)*FeedCornBu*(1+IF(InterestMode="annual rate",InterestPct/100*AvgDays/365*0.5,0)))/HeadSold</f>
        <v>0</v>
      </c>
    </row>
    <row r="55" spans="2:10" ht="22" customHeight="1" x14ac:dyDescent="0.25">
      <c r="B55" s="36">
        <v>0</v>
      </c>
      <c r="C55" s="37">
        <f>KpiNetHd+(C$52*(1-HogHedgePct/100)*CarcassCwt*(1-CheckoffPct/100)-$B55*(1-CornHedgePct/100)*FeedCornBu*(1+IF(InterestMode="annual rate",InterestPct/100*AvgDays/365*0.5,0)))/HeadSold</f>
        <v>0</v>
      </c>
      <c r="D55" s="37">
        <f>KpiNetHd+(D$52*(1-HogHedgePct/100)*CarcassCwt*(1-CheckoffPct/100)-$B55*(1-CornHedgePct/100)*FeedCornBu*(1+IF(InterestMode="annual rate",InterestPct/100*AvgDays/365*0.5,0)))/HeadSold</f>
        <v>0</v>
      </c>
      <c r="E55" s="37">
        <f>KpiNetHd+(E$52*(1-HogHedgePct/100)*CarcassCwt*(1-CheckoffPct/100)-$B55*(1-CornHedgePct/100)*FeedCornBu*(1+IF(InterestMode="annual rate",InterestPct/100*AvgDays/365*0.5,0)))/HeadSold</f>
        <v>0</v>
      </c>
      <c r="F55" s="37">
        <f>KpiNetHd+(F$52*(1-HogHedgePct/100)*CarcassCwt*(1-CheckoffPct/100)-$B55*(1-CornHedgePct/100)*FeedCornBu*(1+IF(InterestMode="annual rate",InterestPct/100*AvgDays/365*0.5,0)))/HeadSold</f>
        <v>0</v>
      </c>
      <c r="G55" s="37">
        <f>KpiNetHd+(G$52*(1-HogHedgePct/100)*CarcassCwt*(1-CheckoffPct/100)-$B55*(1-CornHedgePct/100)*FeedCornBu*(1+IF(InterestMode="annual rate",InterestPct/100*AvgDays/365*0.5,0)))/HeadSold</f>
        <v>0</v>
      </c>
    </row>
    <row r="56" spans="2:10" ht="22" customHeight="1" x14ac:dyDescent="0.25">
      <c r="B56" s="36">
        <v>0.25</v>
      </c>
      <c r="C56" s="37">
        <f>KpiNetHd+(C$52*(1-HogHedgePct/100)*CarcassCwt*(1-CheckoffPct/100)-$B56*(1-CornHedgePct/100)*FeedCornBu*(1+IF(InterestMode="annual rate",InterestPct/100*AvgDays/365*0.5,0)))/HeadSold</f>
        <v>0</v>
      </c>
      <c r="D56" s="37">
        <f>KpiNetHd+(D$52*(1-HogHedgePct/100)*CarcassCwt*(1-CheckoffPct/100)-$B56*(1-CornHedgePct/100)*FeedCornBu*(1+IF(InterestMode="annual rate",InterestPct/100*AvgDays/365*0.5,0)))/HeadSold</f>
        <v>0</v>
      </c>
      <c r="E56" s="37">
        <f>KpiNetHd+(E$52*(1-HogHedgePct/100)*CarcassCwt*(1-CheckoffPct/100)-$B56*(1-CornHedgePct/100)*FeedCornBu*(1+IF(InterestMode="annual rate",InterestPct/100*AvgDays/365*0.5,0)))/HeadSold</f>
        <v>0</v>
      </c>
      <c r="F56" s="37">
        <f>KpiNetHd+(F$52*(1-HogHedgePct/100)*CarcassCwt*(1-CheckoffPct/100)-$B56*(1-CornHedgePct/100)*FeedCornBu*(1+IF(InterestMode="annual rate",InterestPct/100*AvgDays/365*0.5,0)))/HeadSold</f>
        <v>0</v>
      </c>
      <c r="G56" s="37">
        <f>KpiNetHd+(G$52*(1-HogHedgePct/100)*CarcassCwt*(1-CheckoffPct/100)-$B56*(1-CornHedgePct/100)*FeedCornBu*(1+IF(InterestMode="annual rate",InterestPct/100*AvgDays/365*0.5,0)))/HeadSold</f>
        <v>0</v>
      </c>
    </row>
    <row r="57" spans="2:10" ht="22" customHeight="1" x14ac:dyDescent="0.25">
      <c r="B57" s="36">
        <v>0.5</v>
      </c>
      <c r="C57" s="37">
        <f>KpiNetHd+(C$52*(1-HogHedgePct/100)*CarcassCwt*(1-CheckoffPct/100)-$B57*(1-CornHedgePct/100)*FeedCornBu*(1+IF(InterestMode="annual rate",InterestPct/100*AvgDays/365*0.5,0)))/HeadSold</f>
        <v>0</v>
      </c>
      <c r="D57" s="37">
        <f>KpiNetHd+(D$52*(1-HogHedgePct/100)*CarcassCwt*(1-CheckoffPct/100)-$B57*(1-CornHedgePct/100)*FeedCornBu*(1+IF(InterestMode="annual rate",InterestPct/100*AvgDays/365*0.5,0)))/HeadSold</f>
        <v>0</v>
      </c>
      <c r="E57" s="37">
        <f>KpiNetHd+(E$52*(1-HogHedgePct/100)*CarcassCwt*(1-CheckoffPct/100)-$B57*(1-CornHedgePct/100)*FeedCornBu*(1+IF(InterestMode="annual rate",InterestPct/100*AvgDays/365*0.5,0)))/HeadSold</f>
        <v>0</v>
      </c>
      <c r="F57" s="37">
        <f>KpiNetHd+(F$52*(1-HogHedgePct/100)*CarcassCwt*(1-CheckoffPct/100)-$B57*(1-CornHedgePct/100)*FeedCornBu*(1+IF(InterestMode="annual rate",InterestPct/100*AvgDays/365*0.5,0)))/HeadSold</f>
        <v>0</v>
      </c>
      <c r="G57" s="37">
        <f>KpiNetHd+(G$52*(1-HogHedgePct/100)*CarcassCwt*(1-CheckoffPct/100)-$B57*(1-CornHedgePct/100)*FeedCornBu*(1+IF(InterestMode="annual rate",InterestPct/100*AvgDays/365*0.5,0)))/HeadSold</f>
        <v>0</v>
      </c>
    </row>
    <row r="58" spans="2:10" x14ac:dyDescent="0.25">
      <c r="B58" s="10" t="s">
        <v>256</v>
      </c>
    </row>
  </sheetData>
  <mergeCells count="26">
    <mergeCell ref="C4:D4"/>
    <mergeCell ref="C5:D5"/>
    <mergeCell ref="C6:D6"/>
    <mergeCell ref="E4:F4"/>
    <mergeCell ref="E5:F5"/>
    <mergeCell ref="E6:F6"/>
    <mergeCell ref="G4:H4"/>
    <mergeCell ref="G5:H5"/>
    <mergeCell ref="G6:H6"/>
    <mergeCell ref="I4:J4"/>
    <mergeCell ref="I5:J5"/>
    <mergeCell ref="I6:J6"/>
    <mergeCell ref="B8:J8"/>
    <mergeCell ref="H11:I11"/>
    <mergeCell ref="H12:I12"/>
    <mergeCell ref="H13:I13"/>
    <mergeCell ref="H14:I14"/>
    <mergeCell ref="H15:I15"/>
    <mergeCell ref="H16:I16"/>
    <mergeCell ref="H17:I17"/>
    <mergeCell ref="H18:I18"/>
    <mergeCell ref="H19:I19"/>
    <mergeCell ref="H20:I20"/>
    <mergeCell ref="H21:I21"/>
    <mergeCell ref="H22:I22"/>
    <mergeCell ref="H23:I23"/>
  </mergeCells>
  <conditionalFormatting sqref="B5">
    <cfRule type="cellIs" dxfId="1" priority="1" operator="lessThan">
      <formula>0</formula>
    </cfRule>
    <cfRule type="cellIs" dxfId="2" priority="2" operator="greaterThan">
      <formula>0</formula>
    </cfRule>
  </conditionalFormatting>
  <conditionalFormatting sqref="B8:J8">
    <cfRule type="expression" dxfId="3" priority="5">
      <formula>KpiNetHd&lt;0</formula>
    </cfRule>
    <cfRule type="expression" dxfId="4" priority="6">
      <formula>KpiNetHd&gt;=0</formula>
    </cfRule>
  </conditionalFormatting>
  <conditionalFormatting sqref="C28:E28">
    <cfRule type="cellIs" dxfId="1" priority="7" operator="lessThan">
      <formula>0</formula>
    </cfRule>
    <cfRule type="cellIs" dxfId="2" priority="8" operator="greaterThan">
      <formula>0</formula>
    </cfRule>
  </conditionalFormatting>
  <conditionalFormatting sqref="C30:E30">
    <cfRule type="cellIs" dxfId="1" priority="9" operator="lessThan">
      <formula>0</formula>
    </cfRule>
    <cfRule type="cellIs" dxfId="2" priority="10" operator="greaterThan">
      <formula>0</formula>
    </cfRule>
  </conditionalFormatting>
  <conditionalFormatting sqref="C5">
    <cfRule type="cellIs" dxfId="1" priority="3" operator="lessThan">
      <formula>0</formula>
    </cfRule>
    <cfRule type="cellIs" dxfId="2" priority="4" operator="greaterThan">
      <formula>0</formula>
    </cfRule>
  </conditionalFormatting>
  <conditionalFormatting sqref="C53:G57">
    <cfRule type="colorScale" priority="12">
      <colorScale>
        <cfvo type="min" val="0"/>
        <cfvo type="num" val="0"/>
        <cfvo type="max" val="0"/>
        <color rgb="FFF2B8B5"/>
        <color rgb="FFF7F7F5"/>
        <color rgb="FFA9CBF2"/>
      </colorScale>
    </cfRule>
  </conditionalFormatting>
  <conditionalFormatting sqref="F14:F26">
    <cfRule type="dataBar" priority="11">
      <dataBar>
        <cfvo type="min"/>
        <cfvo type="max"/>
        <color rgb="FF9EC5F4"/>
      </dataBar>
      <extLst>
        <ext xmlns:x14="http://schemas.microsoft.com/office/spreadsheetml/2009/9/main" uri="{B025F937-C7B1-47D3-B67F-A62EFF666E3E}">
          <x14:id>{DA7ABA51-AAAA-BBBB-0002-000000000001}</x14:id>
        </ext>
      </extLst>
    </cfRule>
  </conditionalFormatting>
  <pageMargins left="0.4" right="0.4" top="0.6" bottom="0.6" header="0.3" footer="0.3"/>
  <pageSetup paperSize="1" orientation="portrait"/>
  <headerFooter>
    <oddHeader>&amp;L&amp;8&amp;K6B6B66Wean-to-Finish Group Projection&amp;R&amp;8&amp;K6B6B66&amp;A</oddHeader>
    <oddFooter>&amp;L&amp;8&amp;K6B6B66Printed &amp;D&amp;R&amp;8&amp;K6B6B66Page &amp;P of &amp;N</oddFooter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2-00000000000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F14:F26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E3B341"/>
    <pageSetUpPr fitToPage="1"/>
  </sheetPr>
  <dimension ref="A1:E74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.7109375" customWidth="1"/>
    <col min="2" max="2" width="46.7109375" customWidth="1"/>
    <col min="3" max="3" width="22.7109375" customWidth="1"/>
    <col min="4" max="4" width="14.7109375" customWidth="1"/>
    <col min="5" max="5" width="74.7109375" customWidth="1"/>
  </cols>
  <sheetData>
    <row r="1" spans="2:5" ht="30" customHeight="1">
      <c r="B1" s="1" t="s">
        <v>0</v>
      </c>
    </row>
    <row r="2" spans="2:5">
      <c r="B2" s="2" t="s">
        <v>1</v>
      </c>
    </row>
    <row r="3" spans="2:5">
      <c r="B3" s="6" t="s">
        <v>2</v>
      </c>
      <c r="C3" s="8" t="s">
        <v>3</v>
      </c>
    </row>
    <row r="6" spans="2:5">
      <c r="B6" s="3" t="s">
        <v>4</v>
      </c>
      <c r="C6" s="3"/>
      <c r="D6" s="3"/>
      <c r="E6" s="3"/>
    </row>
    <row r="7" spans="2:5">
      <c r="B7" s="7" t="s">
        <v>5</v>
      </c>
      <c r="C7" s="38">
        <v>2400</v>
      </c>
      <c r="D7" s="39" t="s">
        <v>6</v>
      </c>
      <c r="E7" s="10"/>
    </row>
    <row r="8" spans="2:5">
      <c r="B8" s="7" t="s">
        <v>7</v>
      </c>
      <c r="C8" s="40">
        <v>46314</v>
      </c>
      <c r="D8" s="39" t="s">
        <v>8</v>
      </c>
      <c r="E8" s="10"/>
    </row>
    <row r="9" spans="2:5">
      <c r="B9" s="7" t="s">
        <v>9</v>
      </c>
      <c r="C9" s="41">
        <v>12</v>
      </c>
      <c r="D9" s="39" t="s">
        <v>10</v>
      </c>
      <c r="E9" s="10"/>
    </row>
    <row r="10" spans="2:5">
      <c r="B10" s="7" t="s">
        <v>11</v>
      </c>
      <c r="C10" s="42" t="s">
        <v>12</v>
      </c>
      <c r="D10" s="39"/>
      <c r="E10" s="10" t="s">
        <v>13</v>
      </c>
    </row>
    <row r="11" spans="2:5">
      <c r="B11" s="7" t="s">
        <v>14</v>
      </c>
      <c r="C11" s="43">
        <v>6.8</v>
      </c>
      <c r="D11" s="39" t="s">
        <v>15</v>
      </c>
      <c r="E11" s="10"/>
    </row>
    <row r="12" spans="2:5">
      <c r="B12" s="7" t="s">
        <v>16</v>
      </c>
      <c r="C12" s="41">
        <v>0</v>
      </c>
      <c r="D12" s="39" t="s">
        <v>17</v>
      </c>
      <c r="E12" s="10"/>
    </row>
    <row r="13" spans="2:5">
      <c r="B13" s="7" t="s">
        <v>18</v>
      </c>
      <c r="C13" s="41">
        <v>0.25</v>
      </c>
      <c r="D13" s="39" t="s">
        <v>19</v>
      </c>
      <c r="E13" s="10" t="s">
        <v>20</v>
      </c>
    </row>
    <row r="14" spans="2:5">
      <c r="B14" s="7" t="s">
        <v>21</v>
      </c>
      <c r="C14" s="43">
        <v>75</v>
      </c>
      <c r="D14" s="39" t="s">
        <v>15</v>
      </c>
      <c r="E14" s="10" t="s">
        <v>22</v>
      </c>
    </row>
    <row r="15" spans="2:5">
      <c r="B15" s="7" t="s">
        <v>23</v>
      </c>
      <c r="C15" s="42" t="s">
        <v>24</v>
      </c>
      <c r="D15" s="39"/>
      <c r="E15" s="10" t="s">
        <v>25</v>
      </c>
    </row>
    <row r="17" spans="2:5">
      <c r="B17" s="3" t="s">
        <v>26</v>
      </c>
      <c r="C17" s="3"/>
      <c r="D17" s="3"/>
      <c r="E17" s="3"/>
    </row>
    <row r="18" spans="2:5">
      <c r="B18" s="7" t="s">
        <v>27</v>
      </c>
      <c r="C18" s="42" t="s">
        <v>28</v>
      </c>
      <c r="D18" s="39"/>
      <c r="E18" s="10" t="s">
        <v>29</v>
      </c>
    </row>
    <row r="19" spans="2:5">
      <c r="B19" s="7" t="s">
        <v>30</v>
      </c>
      <c r="C19" s="41">
        <v>24.81</v>
      </c>
      <c r="D19" s="39" t="s">
        <v>31</v>
      </c>
      <c r="E19" s="10" t="s">
        <v>32</v>
      </c>
    </row>
    <row r="20" spans="2:5">
      <c r="B20" s="7" t="s">
        <v>33</v>
      </c>
      <c r="C20" s="41">
        <v>24.81</v>
      </c>
      <c r="D20" s="39" t="s">
        <v>31</v>
      </c>
      <c r="E20" s="10" t="s">
        <v>34</v>
      </c>
    </row>
    <row r="21" spans="2:5">
      <c r="B21" s="7" t="s">
        <v>35</v>
      </c>
      <c r="C21" s="41">
        <v>0</v>
      </c>
      <c r="D21" s="39" t="s">
        <v>31</v>
      </c>
      <c r="E21" s="10" t="s">
        <v>36</v>
      </c>
    </row>
    <row r="22" spans="2:5">
      <c r="B22" s="7" t="s">
        <v>37</v>
      </c>
      <c r="C22" s="41">
        <v>24.81</v>
      </c>
      <c r="D22" s="39" t="s">
        <v>31</v>
      </c>
      <c r="E22" s="10"/>
    </row>
    <row r="23" spans="2:5">
      <c r="B23" s="7" t="s">
        <v>38</v>
      </c>
      <c r="C23" s="41">
        <v>1</v>
      </c>
      <c r="D23" s="39" t="s">
        <v>31</v>
      </c>
      <c r="E23" s="10"/>
    </row>
    <row r="25" spans="2:5">
      <c r="B25" s="3" t="s">
        <v>39</v>
      </c>
      <c r="C25" s="3"/>
      <c r="D25" s="3"/>
      <c r="E25" s="3"/>
    </row>
    <row r="26" spans="2:5">
      <c r="B26" s="7" t="s">
        <v>40</v>
      </c>
      <c r="C26" s="41">
        <v>4.7425</v>
      </c>
      <c r="D26" s="39" t="s">
        <v>41</v>
      </c>
      <c r="E26" s="10"/>
    </row>
    <row r="27" spans="2:5">
      <c r="B27" s="7" t="s">
        <v>42</v>
      </c>
      <c r="C27" s="41">
        <v>357.1</v>
      </c>
      <c r="D27" s="39" t="s">
        <v>43</v>
      </c>
      <c r="E27" s="10"/>
    </row>
    <row r="28" spans="2:5">
      <c r="B28" s="7" t="s">
        <v>44</v>
      </c>
      <c r="C28" s="41">
        <v>15</v>
      </c>
      <c r="D28" s="39" t="s">
        <v>43</v>
      </c>
      <c r="E28" s="10"/>
    </row>
    <row r="29" spans="2:5">
      <c r="B29" s="7" t="s">
        <v>45</v>
      </c>
      <c r="C29" s="41">
        <v>0</v>
      </c>
      <c r="D29" s="39" t="s">
        <v>41</v>
      </c>
      <c r="E29" s="10"/>
    </row>
    <row r="30" spans="2:5">
      <c r="B30" s="7" t="s">
        <v>46</v>
      </c>
      <c r="C30" s="43">
        <v>0</v>
      </c>
      <c r="D30" s="39" t="s">
        <v>15</v>
      </c>
      <c r="E30" s="10"/>
    </row>
    <row r="31" spans="2:5">
      <c r="B31" s="7" t="s">
        <v>47</v>
      </c>
      <c r="C31" s="41">
        <v>0</v>
      </c>
      <c r="D31" s="39" t="s">
        <v>41</v>
      </c>
      <c r="E31" s="10" t="s">
        <v>48</v>
      </c>
    </row>
    <row r="32" spans="2:5">
      <c r="B32" s="7" t="s">
        <v>49</v>
      </c>
      <c r="C32" s="43">
        <v>0</v>
      </c>
      <c r="D32" s="39" t="s">
        <v>15</v>
      </c>
      <c r="E32" s="10"/>
    </row>
    <row r="33" spans="2:5">
      <c r="B33" s="7" t="s">
        <v>50</v>
      </c>
      <c r="C33" s="41">
        <v>0</v>
      </c>
      <c r="D33" s="39" t="s">
        <v>43</v>
      </c>
      <c r="E33" s="10" t="s">
        <v>48</v>
      </c>
    </row>
    <row r="35" spans="2:5">
      <c r="B35" s="3" t="s">
        <v>51</v>
      </c>
      <c r="C35" s="3"/>
      <c r="D35" s="3"/>
      <c r="E35" s="3"/>
    </row>
    <row r="36" spans="2:5">
      <c r="B36" s="7" t="s">
        <v>52</v>
      </c>
      <c r="C36" s="42" t="s">
        <v>53</v>
      </c>
      <c r="D36" s="39"/>
      <c r="E36" s="10"/>
    </row>
    <row r="37" spans="2:5">
      <c r="B37" s="7" t="s">
        <v>54</v>
      </c>
      <c r="C37" s="38">
        <v>10</v>
      </c>
      <c r="D37" s="39" t="s">
        <v>55</v>
      </c>
      <c r="E37" s="10" t="s">
        <v>56</v>
      </c>
    </row>
    <row r="38" spans="2:5">
      <c r="B38" s="7" t="s">
        <v>57</v>
      </c>
      <c r="C38" s="41">
        <v>0</v>
      </c>
      <c r="D38" s="39" t="s">
        <v>58</v>
      </c>
      <c r="E38" s="10"/>
    </row>
    <row r="39" spans="2:5">
      <c r="B39" s="7" t="s">
        <v>59</v>
      </c>
      <c r="C39" s="42" t="s">
        <v>60</v>
      </c>
      <c r="D39" s="39"/>
      <c r="E39" s="10"/>
    </row>
    <row r="40" spans="2:5">
      <c r="B40" s="7" t="s">
        <v>61</v>
      </c>
      <c r="C40" s="41">
        <v>0.2</v>
      </c>
      <c r="D40" s="39" t="s">
        <v>62</v>
      </c>
      <c r="E40" s="10" t="s">
        <v>63</v>
      </c>
    </row>
    <row r="41" spans="2:5">
      <c r="B41" s="7" t="s">
        <v>64</v>
      </c>
      <c r="C41" s="41">
        <v>0</v>
      </c>
      <c r="D41" s="39" t="s">
        <v>58</v>
      </c>
      <c r="E41" s="10"/>
    </row>
    <row r="42" spans="2:5">
      <c r="B42" s="7" t="s">
        <v>65</v>
      </c>
      <c r="C42" s="41">
        <v>5</v>
      </c>
      <c r="D42" s="39" t="s">
        <v>66</v>
      </c>
      <c r="E42" s="10"/>
    </row>
    <row r="43" spans="2:5">
      <c r="B43" s="7" t="s">
        <v>67</v>
      </c>
      <c r="C43" s="41">
        <v>4</v>
      </c>
      <c r="D43" s="39" t="s">
        <v>66</v>
      </c>
      <c r="E43" s="10"/>
    </row>
    <row r="44" spans="2:5">
      <c r="B44" s="7" t="s">
        <v>68</v>
      </c>
      <c r="C44" s="41">
        <v>4</v>
      </c>
      <c r="D44" s="39" t="s">
        <v>69</v>
      </c>
      <c r="E44" s="10"/>
    </row>
    <row r="45" spans="2:5">
      <c r="B45" s="7" t="s">
        <v>70</v>
      </c>
      <c r="C45" s="41">
        <v>0.5</v>
      </c>
      <c r="D45" s="39" t="s">
        <v>66</v>
      </c>
      <c r="E45" s="10"/>
    </row>
    <row r="46" spans="2:5">
      <c r="B46" s="7" t="s">
        <v>71</v>
      </c>
      <c r="C46" s="41">
        <v>0</v>
      </c>
      <c r="D46" s="39" t="s">
        <v>66</v>
      </c>
      <c r="E46" s="10"/>
    </row>
    <row r="47" spans="2:5">
      <c r="B47" s="7" t="s">
        <v>72</v>
      </c>
      <c r="C47" s="41">
        <v>0</v>
      </c>
      <c r="D47" s="39" t="s">
        <v>69</v>
      </c>
      <c r="E47" s="10" t="s">
        <v>73</v>
      </c>
    </row>
    <row r="48" spans="2:5">
      <c r="B48" s="7" t="s">
        <v>74</v>
      </c>
      <c r="C48" s="42" t="s">
        <v>75</v>
      </c>
      <c r="D48" s="39"/>
      <c r="E48" s="10"/>
    </row>
    <row r="49" spans="2:5">
      <c r="B49" s="7" t="s">
        <v>76</v>
      </c>
      <c r="C49" s="41">
        <v>0</v>
      </c>
      <c r="D49" s="39" t="s">
        <v>17</v>
      </c>
      <c r="E49" s="10"/>
    </row>
    <row r="50" spans="2:5">
      <c r="B50" s="7" t="s">
        <v>77</v>
      </c>
      <c r="C50" s="43">
        <v>7.12</v>
      </c>
      <c r="D50" s="39" t="s">
        <v>78</v>
      </c>
      <c r="E50" s="10" t="s">
        <v>79</v>
      </c>
    </row>
    <row r="52" spans="2:5">
      <c r="B52" s="3" t="s">
        <v>80</v>
      </c>
      <c r="C52" s="3"/>
      <c r="D52" s="3"/>
      <c r="E52" s="3"/>
    </row>
    <row r="53" spans="2:5">
      <c r="B53" s="7" t="s">
        <v>81</v>
      </c>
      <c r="C53" s="41">
        <v>1.5</v>
      </c>
      <c r="D53" s="39" t="s">
        <v>82</v>
      </c>
      <c r="E53" s="10"/>
    </row>
    <row r="54" spans="2:5">
      <c r="B54" s="7" t="s">
        <v>83</v>
      </c>
      <c r="C54" s="43">
        <v>0.35</v>
      </c>
      <c r="D54" s="39" t="s">
        <v>84</v>
      </c>
      <c r="E54" s="10"/>
    </row>
    <row r="55" spans="2:5">
      <c r="B55" s="7" t="s">
        <v>85</v>
      </c>
      <c r="C55" s="43">
        <v>0</v>
      </c>
      <c r="D55" s="39" t="s">
        <v>15</v>
      </c>
      <c r="E55" s="10"/>
    </row>
    <row r="56" spans="2:5">
      <c r="B56" s="7" t="s">
        <v>86</v>
      </c>
      <c r="C56" s="41">
        <v>0</v>
      </c>
      <c r="D56" s="39" t="s">
        <v>82</v>
      </c>
      <c r="E56" s="10" t="s">
        <v>87</v>
      </c>
    </row>
    <row r="58" spans="2:5">
      <c r="B58" s="3" t="s">
        <v>88</v>
      </c>
      <c r="C58" s="3"/>
      <c r="D58" s="3"/>
      <c r="E58" s="3"/>
    </row>
    <row r="59" spans="2:5">
      <c r="B59" s="7" t="s">
        <v>89</v>
      </c>
      <c r="C59" s="41">
        <v>0</v>
      </c>
      <c r="D59" s="39" t="s">
        <v>69</v>
      </c>
      <c r="E59" s="10"/>
    </row>
    <row r="60" spans="2:5">
      <c r="B60" s="7" t="s">
        <v>90</v>
      </c>
      <c r="C60" s="41">
        <v>0</v>
      </c>
      <c r="D60" s="39" t="s">
        <v>69</v>
      </c>
      <c r="E60" s="10"/>
    </row>
    <row r="62" spans="2:5">
      <c r="B62" s="3" t="s">
        <v>91</v>
      </c>
      <c r="C62" s="3"/>
      <c r="D62" s="3"/>
      <c r="E62" s="3"/>
    </row>
    <row r="63" spans="2:5">
      <c r="B63" s="7" t="s">
        <v>92</v>
      </c>
      <c r="C63" s="44">
        <f>MATCH(Location,LocNames,0)</f>
        <v>0</v>
      </c>
    </row>
    <row r="64" spans="2:5">
      <c r="B64" s="7" t="s">
        <v>93</v>
      </c>
      <c r="C64" s="45">
        <f>INDEX(LocCornBasis,LocRow)</f>
        <v>0</v>
      </c>
    </row>
    <row r="65" spans="2:3">
      <c r="B65" s="7" t="s">
        <v>94</v>
      </c>
      <c r="C65" s="45">
        <f>INDEX(LocSbmBasis,LocRow)</f>
        <v>0</v>
      </c>
    </row>
    <row r="66" spans="2:3">
      <c r="B66" s="7" t="s">
        <v>95</v>
      </c>
      <c r="C66" s="45">
        <f>INDEX(LocDdgs,LocRow)</f>
        <v>0</v>
      </c>
    </row>
    <row r="67" spans="2:3">
      <c r="B67" s="7" t="s">
        <v>96</v>
      </c>
      <c r="C67" s="45">
        <f>INDEX(LocBarnRent,LocRow)</f>
        <v>0</v>
      </c>
    </row>
    <row r="68" spans="2:3">
      <c r="B68" s="7" t="s">
        <v>97</v>
      </c>
      <c r="C68" s="45">
        <f>INDEX(LocWage,LocRow)</f>
        <v>0</v>
      </c>
    </row>
    <row r="69" spans="2:3">
      <c r="B69" s="7" t="s">
        <v>98</v>
      </c>
      <c r="C69" s="45">
        <f>(CornFutures+CornBasis+CornCarry)*(1-CornHedgePct/100)+CornHedged*CornHedgePct/100</f>
        <v>0</v>
      </c>
    </row>
    <row r="70" spans="2:3">
      <c r="B70" s="7" t="s">
        <v>99</v>
      </c>
      <c r="C70" s="45">
        <f>(SbmFutures+SbmBasis)*(1-SbmHedgePct/100)+SbmHedged*SbmHedgePct/100</f>
        <v>0</v>
      </c>
    </row>
    <row r="71" spans="2:3">
      <c r="B71" s="7" t="s">
        <v>100</v>
      </c>
      <c r="C71" s="45">
        <f>IF(WeanSource="USDA cash (open market)",WeanCash+WeanAdder,IF(WeanSource="USDA formula",WeanFormula+WeanAdder,WeanManual))</f>
        <v>0</v>
      </c>
    </row>
    <row r="72" spans="2:3">
      <c r="B72" s="7" t="s">
        <v>101</v>
      </c>
      <c r="C72" s="45">
        <f>IF(MortMode="$ per pig",HeadPlaced,HeadPlaced*(1-MortalityPct/100))</f>
        <v>0</v>
      </c>
    </row>
    <row r="73" spans="2:3">
      <c r="B73" s="7" t="s">
        <v>102</v>
      </c>
      <c r="C73" s="44">
        <f>MAX(CutDays)+BarnDowntime</f>
        <v>0</v>
      </c>
    </row>
    <row r="74" spans="2:3">
      <c r="B74" s="7" t="s">
        <v>103</v>
      </c>
      <c r="C74" s="45">
        <f>HeadSold+(HeadPlaced-HeadSold)*DeadFeedShare</f>
        <v>0</v>
      </c>
    </row>
  </sheetData>
  <dataValidations count="47">
    <dataValidation allowBlank="1" showInputMessage="1" showErrorMessage="1" promptTitle="Head placed" prompt="Units: head" sqref="C7"/>
    <dataValidation allowBlank="1" showInputMessage="1" showErrorMessage="1" promptTitle="Placement date" prompt="Units: date" sqref="C8"/>
    <dataValidation allowBlank="1" showInputMessage="1" showErrorMessage="1" promptTitle="Weaned pig weight" prompt="Units: lb" sqref="C9"/>
    <dataValidation allowBlank="1" showInputMessage="1" showErrorMessage="1" promptTitle="Mortality method" prompt="% of head = fewer pigs sold; $ per pig = flat death-loss charge" sqref="C10"/>
    <dataValidation allowBlank="1" showInputMessage="1" showErrorMessage="1" promptTitle="Mortality (wean to market)" prompt="Units: %" sqref="C11"/>
    <dataValidation allowBlank="1" showInputMessage="1" showErrorMessage="1" promptTitle="Mortality charge if $ per pig" prompt="Units: $/pig placed" sqref="C12"/>
    <dataValidation allowBlank="1" showInputMessage="1" showErrorMessage="1" promptTitle="Feed eaten by a dead pig (share " prompt="Most death loss is early, so deads eat little" sqref="C13"/>
    <dataValidation allowBlank="1" showInputMessage="1" showErrorMessage="1" promptTitle="Carcass yield" prompt="Hot carcass / live" sqref="C14"/>
    <dataValidation allowBlank="1" showInputMessage="1" showErrorMessage="1" promptTitle="Feeding location" prompt="Pick from list; prices come from the Locations sheet" sqref="C15"/>
    <dataValidation allowBlank="1" showInputMessage="1" showErrorMessage="1" promptTitle="Weaned pig price source" prompt="USDA cash = open market; 2,400+ head lots if reported, else the largest lot" sqref="C18"/>
    <dataValidation allowBlank="1" showInputMessage="1" showErrorMessage="1" promptTitle="USDA weaned pig cash price" prompt="USDA AMS National Direct Feeder Pig Report (weekly, report 2810), early weaned" sqref="C19"/>
    <dataValidation allowBlank="1" showInputMessage="1" showErrorMessage="1" promptTitle="USDA weaned pig formula price" prompt="Same report, formula purchases" sqref="C20"/>
    <dataValidation allowBlank="1" showInputMessage="1" showErrorMessage="1" promptTitle="Price adder over USDA" prompt="Your system's premium over the USDA price (not added to Manual)" sqref="C21"/>
    <dataValidation allowBlank="1" showInputMessage="1" showErrorMessage="1" promptTitle="Manual weaned pig price" prompt="Units: $/head" sqref="C22"/>
    <dataValidation allowBlank="1" showInputMessage="1" showErrorMessage="1" promptTitle="Weaned pig freight" prompt="Units: $/head" sqref="C23"/>
    <dataValidation allowBlank="1" showInputMessage="1" showErrorMessage="1" promptTitle="CBOT corn futures" prompt="Units: $/bu" sqref="C26"/>
    <dataValidation allowBlank="1" showInputMessage="1" showErrorMessage="1" promptTitle="CBOT soybean meal futures" prompt="Units: $/ton" sqref="C27"/>
    <dataValidation allowBlank="1" showInputMessage="1" showErrorMessage="1" promptTitle="Feed mill grind/mix/delivery" prompt="Units: $/ton" sqref="C28"/>
    <dataValidation allowBlank="1" showInputMessage="1" showErrorMessage="1" promptTitle="Corn carry / storage adder" prompt="Units: $/bu" sqref="C29"/>
    <dataValidation allowBlank="1" showInputMessage="1" showErrorMessage="1" promptTitle="Corn % hedged" prompt="Units: %" sqref="C30"/>
    <dataValidation allowBlank="1" showInputMessage="1" showErrorMessage="1" promptTitle="Corn hedged/contracted cash pric" prompt="All-in price on the hedged share" sqref="C31"/>
    <dataValidation allowBlank="1" showInputMessage="1" showErrorMessage="1" promptTitle="Soybean meal % hedged" prompt="Units: %" sqref="C32"/>
    <dataValidation allowBlank="1" showInputMessage="1" showErrorMessage="1" promptTitle="Soybean meal hedged/contracted p" prompt="All-in price on the hedged share" sqref="C33"/>
    <dataValidation allowBlank="1" showInputMessage="1" showErrorMessage="1" promptTitle="Barn downtime between groups" prompt="Wash/dry/fill. Barn days = last marketing day + downtime" sqref="C37"/>
    <dataValidation allowBlank="1" showInputMessage="1" showErrorMessage="1" promptTitle="Barn cost if $/pig placed" prompt="Units: $/pig" sqref="C38"/>
    <dataValidation allowBlank="1" showInputMessage="1" showErrorMessage="1" promptTitle="Labor hours per pig placed" prompt="Wage comes from the Locations sheet" sqref="C40"/>
    <dataValidation allowBlank="1" showInputMessage="1" showErrorMessage="1" promptTitle="Labor cost if $/pig placed" prompt="Units: $/pig" sqref="C41"/>
    <dataValidation allowBlank="1" showInputMessage="1" showErrorMessage="1" promptTitle="Vet / med / vaccine" prompt="Units: $/head placed" sqref="C42"/>
    <dataValidation allowBlank="1" showInputMessage="1" showErrorMessage="1" promptTitle="Utilities / fuel" prompt="Units: $/head placed" sqref="C43"/>
    <dataValidation allowBlank="1" showInputMessage="1" showErrorMessage="1" promptTitle="Trucking to market" prompt="Units: $/head sold" sqref="C44"/>
    <dataValidation allowBlank="1" showInputMessage="1" showErrorMessage="1" promptTitle="Insurance / misc" prompt="Units: $/head placed" sqref="C45"/>
    <dataValidation allowBlank="1" showInputMessage="1" showErrorMessage="1" promptTitle="G&amp;A" prompt="Units: $/head placed" sqref="C46"/>
    <dataValidation allowBlank="1" showInputMessage="1" showErrorMessage="1" promptTitle="Other / (sales premiums)" prompt="Negative = premiums received" sqref="C47"/>
    <dataValidation allowBlank="1" showInputMessage="1" showErrorMessage="1" promptTitle="Interest if $ per pig" prompt="Units: $/pig placed" sqref="C49"/>
    <dataValidation allowBlank="1" showInputMessage="1" showErrorMessage="1" promptTitle="Operating interest rate" prompt="On pig cost + half of feed, for the feeding period" sqref="C50"/>
    <dataValidation allowBlank="1" showInputMessage="1" showErrorMessage="1" promptTitle="Carcass merit premium" prompt="Units: $/cwt carcass" sqref="C53"/>
    <dataValidation allowBlank="1" showInputMessage="1" showErrorMessage="1" promptTitle="Pork checkoff" prompt="Units: % of gross" sqref="C54"/>
    <dataValidation allowBlank="1" showInputMessage="1" showErrorMessage="1" promptTitle="Hogs % hedged" prompt="Units: %" sqref="C55"/>
    <dataValidation allowBlank="1" showInputMessage="1" showErrorMessage="1" promptTitle="Hog hedged futures price" prompt="Futures locked on the hedged share; basis still applies" sqref="C56"/>
    <dataValidation allowBlank="1" showInputMessage="1" showErrorMessage="1" promptTitle="Principal payment" prompt="Units: $/head sold" sqref="C59"/>
    <dataValidation allowBlank="1" showInputMessage="1" showErrorMessage="1" promptTitle="Term interest payment" prompt="Units: $/head sold" sqref="C60"/>
    <dataValidation type="list" allowBlank="1" showInputMessage="1" showErrorMessage="1" promptTitle="Pick from the list" prompt="Which weaned pig price to use." sqref="C18">
      <formula1>"USDA cash (open market),USDA formula,Manual"</formula1>
    </dataValidation>
    <dataValidation type="list" allowBlank="1" showInputMessage="1" showErrorMessage="1" promptTitle="Pick from the list" prompt="Rent per space per year, or per pig." sqref="C36">
      <formula1>"$/space/year,$/pig placed"</formula1>
    </dataValidation>
    <dataValidation type="list" allowBlank="1" showInputMessage="1" showErrorMessage="1" promptTitle="Pick from the list" prompt="Hours x wage, or $ per pig." sqref="C39">
      <formula1>"hours x wage,$/pig placed"</formula1>
    </dataValidation>
    <dataValidation type="list" allowBlank="1" showInputMessage="1" showErrorMessage="1" promptTitle="Pick from the list" prompt="% of head, or $ per pig placed." sqref="C10">
      <formula1>"% of head,$ per pig"</formula1>
    </dataValidation>
    <dataValidation type="list" allowBlank="1" showInputMessage="1" showErrorMessage="1" promptTitle="Pick from the list" prompt="Annual rate, or $ per pig." sqref="C48">
      <formula1>"annual rate,$ per pig"</formula1>
    </dataValidation>
    <dataValidation type="list" allowBlank="1" showInputMessage="1" showErrorMessage="1" promptTitle="Feeding location" prompt="Add or edit locations on the Locations sheet." sqref="C15">
      <formula1>LocNames</formula1>
    </dataValidation>
  </dataValidations>
  <pageMargins left="0.4" right="0.4" top="0.6" bottom="0.6" header="0.3" footer="0.3"/>
  <pageSetup paperSize="1" fitToHeight="0" orientation="landscape"/>
  <headerFooter>
    <oddHeader>&amp;L&amp;8&amp;K6B6B66Wean-to-Finish Group Projection&amp;R&amp;8&amp;K6B6B66&amp;A</oddHeader>
    <oddFooter>&amp;L&amp;8&amp;K6B6B66Printed &amp;D&amp;R&amp;8&amp;K6B6B66Page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E3B341"/>
    <pageSetUpPr fitToPage="1"/>
  </sheetPr>
  <dimension ref="A1:H64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30.7109375" customWidth="1"/>
    <col min="2" max="2" width="8.7109375" customWidth="1"/>
    <col min="3" max="4" width="13.7109375" customWidth="1"/>
    <col min="5" max="5" width="12.7109375" customWidth="1"/>
    <col min="6" max="6" width="14.7109375" customWidth="1"/>
    <col min="7" max="7" width="12.7109375" customWidth="1"/>
    <col min="8" max="8" width="90.7109375" customWidth="1"/>
  </cols>
  <sheetData>
    <row r="1" spans="1:8" ht="30" customHeight="1">
      <c r="A1" s="1" t="s">
        <v>104</v>
      </c>
    </row>
    <row r="2" spans="1:8">
      <c r="A2" s="2" t="s">
        <v>105</v>
      </c>
    </row>
    <row r="4" spans="1:8" ht="30" customHeight="1">
      <c r="A4" s="16" t="s">
        <v>106</v>
      </c>
      <c r="B4" s="17" t="s">
        <v>107</v>
      </c>
      <c r="C4" s="17" t="s">
        <v>108</v>
      </c>
      <c r="D4" s="17" t="s">
        <v>109</v>
      </c>
      <c r="E4" s="17" t="s">
        <v>110</v>
      </c>
      <c r="F4" s="17" t="s">
        <v>111</v>
      </c>
      <c r="G4" s="17" t="s">
        <v>97</v>
      </c>
      <c r="H4" s="17" t="s">
        <v>112</v>
      </c>
    </row>
    <row r="5" spans="1:8">
      <c r="A5" s="42" t="s">
        <v>113</v>
      </c>
      <c r="B5" s="42" t="s">
        <v>114</v>
      </c>
      <c r="C5" s="41">
        <v>-0.3</v>
      </c>
      <c r="D5" s="41">
        <v>38</v>
      </c>
      <c r="E5" s="41">
        <v>200</v>
      </c>
      <c r="F5" s="41">
        <v>40</v>
      </c>
      <c r="G5" s="41">
        <v>18.15</v>
      </c>
      <c r="H5" s="42" t="s">
        <v>115</v>
      </c>
    </row>
    <row r="6" spans="1:8">
      <c r="A6" s="42" t="s">
        <v>116</v>
      </c>
      <c r="B6" s="42" t="s">
        <v>117</v>
      </c>
      <c r="C6" s="41">
        <v>-0.3</v>
      </c>
      <c r="D6" s="41">
        <v>35</v>
      </c>
      <c r="E6" s="41">
        <v>188</v>
      </c>
      <c r="F6" s="41">
        <v>40</v>
      </c>
      <c r="G6" s="41">
        <v>18.15</v>
      </c>
      <c r="H6" s="42" t="s">
        <v>118</v>
      </c>
    </row>
    <row r="7" spans="1:8">
      <c r="A7" s="42" t="s">
        <v>119</v>
      </c>
      <c r="B7" s="42" t="s">
        <v>120</v>
      </c>
      <c r="C7" s="41">
        <v>-0.35</v>
      </c>
      <c r="D7" s="41">
        <v>30</v>
      </c>
      <c r="E7" s="41">
        <v>178</v>
      </c>
      <c r="F7" s="41">
        <v>40</v>
      </c>
      <c r="G7" s="41">
        <v>18.15</v>
      </c>
      <c r="H7" s="42" t="s">
        <v>121</v>
      </c>
    </row>
    <row r="8" spans="1:8">
      <c r="A8" s="42" t="s">
        <v>122</v>
      </c>
      <c r="B8" s="42" t="s">
        <v>123</v>
      </c>
      <c r="C8" s="41">
        <v>-0.7</v>
      </c>
      <c r="D8" s="41">
        <v>35</v>
      </c>
      <c r="E8" s="41">
        <v>195</v>
      </c>
      <c r="F8" s="41">
        <v>40</v>
      </c>
      <c r="G8" s="41">
        <v>17.51</v>
      </c>
      <c r="H8" s="42" t="s">
        <v>124</v>
      </c>
    </row>
    <row r="9" spans="1:8">
      <c r="A9" s="42" t="s">
        <v>125</v>
      </c>
      <c r="B9" s="42" t="s">
        <v>123</v>
      </c>
      <c r="C9" s="41">
        <v>-0.5</v>
      </c>
      <c r="D9" s="41">
        <v>30</v>
      </c>
      <c r="E9" s="41">
        <v>195</v>
      </c>
      <c r="F9" s="41">
        <v>40</v>
      </c>
      <c r="G9" s="41">
        <v>17.51</v>
      </c>
      <c r="H9" s="42" t="s">
        <v>126</v>
      </c>
    </row>
    <row r="10" spans="1:8">
      <c r="A10" s="42" t="s">
        <v>127</v>
      </c>
      <c r="B10" s="42" t="s">
        <v>120</v>
      </c>
      <c r="C10" s="41">
        <v>-0.45</v>
      </c>
      <c r="D10" s="41">
        <v>32</v>
      </c>
      <c r="E10" s="41">
        <v>180</v>
      </c>
      <c r="F10" s="41">
        <v>40</v>
      </c>
      <c r="G10" s="41">
        <v>18.15</v>
      </c>
      <c r="H10" s="42" t="s">
        <v>128</v>
      </c>
    </row>
    <row r="11" spans="1:8">
      <c r="A11" s="42" t="s">
        <v>129</v>
      </c>
      <c r="B11" s="42" t="s">
        <v>130</v>
      </c>
      <c r="C11" s="41">
        <v>-0.35</v>
      </c>
      <c r="D11" s="41">
        <v>32</v>
      </c>
      <c r="E11" s="41">
        <v>205</v>
      </c>
      <c r="F11" s="41">
        <v>40</v>
      </c>
      <c r="G11" s="41">
        <v>17.51</v>
      </c>
      <c r="H11" s="42" t="s">
        <v>131</v>
      </c>
    </row>
    <row r="12" spans="1:8">
      <c r="A12" s="42" t="s">
        <v>132</v>
      </c>
      <c r="B12" s="42" t="s">
        <v>133</v>
      </c>
      <c r="C12" s="41">
        <v>-0.5</v>
      </c>
      <c r="D12" s="41">
        <v>40</v>
      </c>
      <c r="E12" s="41">
        <v>195</v>
      </c>
      <c r="F12" s="41">
        <v>40</v>
      </c>
      <c r="G12" s="41">
        <v>18.15</v>
      </c>
      <c r="H12" s="42" t="s">
        <v>134</v>
      </c>
    </row>
    <row r="13" spans="1:8">
      <c r="A13" s="42" t="s">
        <v>24</v>
      </c>
      <c r="B13" s="42" t="s">
        <v>120</v>
      </c>
      <c r="C13" s="41">
        <v>-0.4</v>
      </c>
      <c r="D13" s="41">
        <v>30</v>
      </c>
      <c r="E13" s="41">
        <v>180</v>
      </c>
      <c r="F13" s="41">
        <v>40</v>
      </c>
      <c r="G13" s="41">
        <v>18.15</v>
      </c>
      <c r="H13" s="42" t="s">
        <v>135</v>
      </c>
    </row>
    <row r="14" spans="1:8">
      <c r="A14" s="42" t="s">
        <v>136</v>
      </c>
      <c r="B14" s="42" t="s">
        <v>137</v>
      </c>
      <c r="C14" s="41">
        <v>-0.5</v>
      </c>
      <c r="D14" s="41">
        <v>25</v>
      </c>
      <c r="E14" s="41">
        <v>186</v>
      </c>
      <c r="F14" s="41">
        <v>40</v>
      </c>
      <c r="G14" s="41">
        <v>18.15</v>
      </c>
      <c r="H14" s="42" t="s">
        <v>138</v>
      </c>
    </row>
    <row r="15" spans="1:8">
      <c r="A15" s="42" t="s">
        <v>139</v>
      </c>
      <c r="B15" s="42" t="s">
        <v>120</v>
      </c>
      <c r="C15" s="41">
        <v>-0.38</v>
      </c>
      <c r="D15" s="41">
        <v>32</v>
      </c>
      <c r="E15" s="41">
        <v>182</v>
      </c>
      <c r="F15" s="41">
        <v>40</v>
      </c>
      <c r="G15" s="41">
        <v>18.15</v>
      </c>
      <c r="H15" s="42" t="s">
        <v>140</v>
      </c>
    </row>
    <row r="16" spans="1:8">
      <c r="A16" s="42" t="s">
        <v>141</v>
      </c>
      <c r="B16" s="42" t="s">
        <v>137</v>
      </c>
      <c r="C16" s="41">
        <v>-0.5</v>
      </c>
      <c r="D16" s="41">
        <v>25</v>
      </c>
      <c r="E16" s="41">
        <v>186</v>
      </c>
      <c r="F16" s="41">
        <v>40</v>
      </c>
      <c r="G16" s="41">
        <v>18.15</v>
      </c>
      <c r="H16" s="42" t="s">
        <v>142</v>
      </c>
    </row>
    <row r="17" spans="1:8">
      <c r="A17" s="42"/>
      <c r="B17" s="42"/>
      <c r="C17" s="41"/>
      <c r="D17" s="41"/>
      <c r="E17" s="41"/>
      <c r="F17" s="41"/>
      <c r="G17" s="41"/>
      <c r="H17" s="42"/>
    </row>
    <row r="18" spans="1:8">
      <c r="A18" s="42"/>
      <c r="B18" s="42"/>
      <c r="C18" s="41"/>
      <c r="D18" s="41"/>
      <c r="E18" s="41"/>
      <c r="F18" s="41"/>
      <c r="G18" s="41"/>
      <c r="H18" s="42"/>
    </row>
    <row r="19" spans="1:8">
      <c r="A19" s="42"/>
      <c r="B19" s="42"/>
      <c r="C19" s="41"/>
      <c r="D19" s="41"/>
      <c r="E19" s="41"/>
      <c r="F19" s="41"/>
      <c r="G19" s="41"/>
      <c r="H19" s="42"/>
    </row>
    <row r="20" spans="1:8">
      <c r="A20" s="42"/>
      <c r="B20" s="42"/>
      <c r="C20" s="41"/>
      <c r="D20" s="41"/>
      <c r="E20" s="41"/>
      <c r="F20" s="41"/>
      <c r="G20" s="41"/>
      <c r="H20" s="42"/>
    </row>
    <row r="21" spans="1:8">
      <c r="A21" s="42"/>
      <c r="B21" s="42"/>
      <c r="C21" s="41"/>
      <c r="D21" s="41"/>
      <c r="E21" s="41"/>
      <c r="F21" s="41"/>
      <c r="G21" s="41"/>
      <c r="H21" s="42"/>
    </row>
    <row r="22" spans="1:8">
      <c r="A22" s="42"/>
      <c r="B22" s="42"/>
      <c r="C22" s="41"/>
      <c r="D22" s="41"/>
      <c r="E22" s="41"/>
      <c r="F22" s="41"/>
      <c r="G22" s="41"/>
      <c r="H22" s="42"/>
    </row>
    <row r="23" spans="1:8">
      <c r="A23" s="42"/>
      <c r="B23" s="42"/>
      <c r="C23" s="41"/>
      <c r="D23" s="41"/>
      <c r="E23" s="41"/>
      <c r="F23" s="41"/>
      <c r="G23" s="41"/>
      <c r="H23" s="42"/>
    </row>
    <row r="24" spans="1:8">
      <c r="A24" s="42"/>
      <c r="B24" s="42"/>
      <c r="C24" s="41"/>
      <c r="D24" s="41"/>
      <c r="E24" s="41"/>
      <c r="F24" s="41"/>
      <c r="G24" s="41"/>
      <c r="H24" s="42"/>
    </row>
    <row r="25" spans="1:8">
      <c r="A25" s="42"/>
      <c r="B25" s="42"/>
      <c r="C25" s="41"/>
      <c r="D25" s="41"/>
      <c r="E25" s="41"/>
      <c r="F25" s="41"/>
      <c r="G25" s="41"/>
      <c r="H25" s="42"/>
    </row>
    <row r="26" spans="1:8">
      <c r="A26" s="42"/>
      <c r="B26" s="42"/>
      <c r="C26" s="41"/>
      <c r="D26" s="41"/>
      <c r="E26" s="41"/>
      <c r="F26" s="41"/>
      <c r="G26" s="41"/>
      <c r="H26" s="42"/>
    </row>
    <row r="27" spans="1:8">
      <c r="A27" s="42"/>
      <c r="B27" s="42"/>
      <c r="C27" s="41"/>
      <c r="D27" s="41"/>
      <c r="E27" s="41"/>
      <c r="F27" s="41"/>
      <c r="G27" s="41"/>
      <c r="H27" s="42"/>
    </row>
    <row r="28" spans="1:8">
      <c r="A28" s="42"/>
      <c r="B28" s="42"/>
      <c r="C28" s="41"/>
      <c r="D28" s="41"/>
      <c r="E28" s="41"/>
      <c r="F28" s="41"/>
      <c r="G28" s="41"/>
      <c r="H28" s="42"/>
    </row>
    <row r="29" spans="1:8">
      <c r="A29" s="42"/>
      <c r="B29" s="42"/>
      <c r="C29" s="41"/>
      <c r="D29" s="41"/>
      <c r="E29" s="41"/>
      <c r="F29" s="41"/>
      <c r="G29" s="41"/>
      <c r="H29" s="42"/>
    </row>
    <row r="30" spans="1:8">
      <c r="A30" s="42"/>
      <c r="B30" s="42"/>
      <c r="C30" s="41"/>
      <c r="D30" s="41"/>
      <c r="E30" s="41"/>
      <c r="F30" s="41"/>
      <c r="G30" s="41"/>
      <c r="H30" s="42"/>
    </row>
    <row r="31" spans="1:8">
      <c r="A31" s="42"/>
      <c r="B31" s="42"/>
      <c r="C31" s="41"/>
      <c r="D31" s="41"/>
      <c r="E31" s="41"/>
      <c r="F31" s="41"/>
      <c r="G31" s="41"/>
      <c r="H31" s="42"/>
    </row>
    <row r="32" spans="1:8">
      <c r="A32" s="42"/>
      <c r="B32" s="42"/>
      <c r="C32" s="41"/>
      <c r="D32" s="41"/>
      <c r="E32" s="41"/>
      <c r="F32" s="41"/>
      <c r="G32" s="41"/>
      <c r="H32" s="42"/>
    </row>
    <row r="33" spans="1:8">
      <c r="A33" s="42"/>
      <c r="B33" s="42"/>
      <c r="C33" s="41"/>
      <c r="D33" s="41"/>
      <c r="E33" s="41"/>
      <c r="F33" s="41"/>
      <c r="G33" s="41"/>
      <c r="H33" s="42"/>
    </row>
    <row r="34" spans="1:8">
      <c r="A34" s="42"/>
      <c r="B34" s="42"/>
      <c r="C34" s="41"/>
      <c r="D34" s="41"/>
      <c r="E34" s="41"/>
      <c r="F34" s="41"/>
      <c r="G34" s="41"/>
      <c r="H34" s="42"/>
    </row>
    <row r="35" spans="1:8">
      <c r="A35" s="42"/>
      <c r="B35" s="42"/>
      <c r="C35" s="41"/>
      <c r="D35" s="41"/>
      <c r="E35" s="41"/>
      <c r="F35" s="41"/>
      <c r="G35" s="41"/>
      <c r="H35" s="42"/>
    </row>
    <row r="36" spans="1:8">
      <c r="A36" s="42"/>
      <c r="B36" s="42"/>
      <c r="C36" s="41"/>
      <c r="D36" s="41"/>
      <c r="E36" s="41"/>
      <c r="F36" s="41"/>
      <c r="G36" s="41"/>
      <c r="H36" s="42"/>
    </row>
    <row r="37" spans="1:8">
      <c r="A37" s="42"/>
      <c r="B37" s="42"/>
      <c r="C37" s="41"/>
      <c r="D37" s="41"/>
      <c r="E37" s="41"/>
      <c r="F37" s="41"/>
      <c r="G37" s="41"/>
      <c r="H37" s="42"/>
    </row>
    <row r="38" spans="1:8">
      <c r="A38" s="42"/>
      <c r="B38" s="42"/>
      <c r="C38" s="41"/>
      <c r="D38" s="41"/>
      <c r="E38" s="41"/>
      <c r="F38" s="41"/>
      <c r="G38" s="41"/>
      <c r="H38" s="42"/>
    </row>
    <row r="39" spans="1:8">
      <c r="A39" s="42"/>
      <c r="B39" s="42"/>
      <c r="C39" s="41"/>
      <c r="D39" s="41"/>
      <c r="E39" s="41"/>
      <c r="F39" s="41"/>
      <c r="G39" s="41"/>
      <c r="H39" s="42"/>
    </row>
    <row r="40" spans="1:8">
      <c r="A40" s="42"/>
      <c r="B40" s="42"/>
      <c r="C40" s="41"/>
      <c r="D40" s="41"/>
      <c r="E40" s="41"/>
      <c r="F40" s="41"/>
      <c r="G40" s="41"/>
      <c r="H40" s="42"/>
    </row>
    <row r="41" spans="1:8">
      <c r="A41" s="42"/>
      <c r="B41" s="42"/>
      <c r="C41" s="41"/>
      <c r="D41" s="41"/>
      <c r="E41" s="41"/>
      <c r="F41" s="41"/>
      <c r="G41" s="41"/>
      <c r="H41" s="42"/>
    </row>
    <row r="42" spans="1:8">
      <c r="A42" s="42"/>
      <c r="B42" s="42"/>
      <c r="C42" s="41"/>
      <c r="D42" s="41"/>
      <c r="E42" s="41"/>
      <c r="F42" s="41"/>
      <c r="G42" s="41"/>
      <c r="H42" s="42"/>
    </row>
    <row r="43" spans="1:8">
      <c r="A43" s="42"/>
      <c r="B43" s="42"/>
      <c r="C43" s="41"/>
      <c r="D43" s="41"/>
      <c r="E43" s="41"/>
      <c r="F43" s="41"/>
      <c r="G43" s="41"/>
      <c r="H43" s="42"/>
    </row>
    <row r="44" spans="1:8">
      <c r="A44" s="42"/>
      <c r="B44" s="42"/>
      <c r="C44" s="41"/>
      <c r="D44" s="41"/>
      <c r="E44" s="41"/>
      <c r="F44" s="41"/>
      <c r="G44" s="41"/>
      <c r="H44" s="42"/>
    </row>
    <row r="45" spans="1:8">
      <c r="A45" s="42"/>
      <c r="B45" s="42"/>
      <c r="C45" s="41"/>
      <c r="D45" s="41"/>
      <c r="E45" s="41"/>
      <c r="F45" s="41"/>
      <c r="G45" s="41"/>
      <c r="H45" s="42"/>
    </row>
    <row r="46" spans="1:8">
      <c r="A46" s="42"/>
      <c r="B46" s="42"/>
      <c r="C46" s="41"/>
      <c r="D46" s="41"/>
      <c r="E46" s="41"/>
      <c r="F46" s="41"/>
      <c r="G46" s="41"/>
      <c r="H46" s="42"/>
    </row>
    <row r="47" spans="1:8">
      <c r="A47" s="42"/>
      <c r="B47" s="42"/>
      <c r="C47" s="41"/>
      <c r="D47" s="41"/>
      <c r="E47" s="41"/>
      <c r="F47" s="41"/>
      <c r="G47" s="41"/>
      <c r="H47" s="42"/>
    </row>
    <row r="48" spans="1:8">
      <c r="A48" s="42"/>
      <c r="B48" s="42"/>
      <c r="C48" s="41"/>
      <c r="D48" s="41"/>
      <c r="E48" s="41"/>
      <c r="F48" s="41"/>
      <c r="G48" s="41"/>
      <c r="H48" s="42"/>
    </row>
    <row r="49" spans="1:8">
      <c r="A49" s="42"/>
      <c r="B49" s="42"/>
      <c r="C49" s="41"/>
      <c r="D49" s="41"/>
      <c r="E49" s="41"/>
      <c r="F49" s="41"/>
      <c r="G49" s="41"/>
      <c r="H49" s="42"/>
    </row>
    <row r="50" spans="1:8">
      <c r="A50" s="42"/>
      <c r="B50" s="42"/>
      <c r="C50" s="41"/>
      <c r="D50" s="41"/>
      <c r="E50" s="41"/>
      <c r="F50" s="41"/>
      <c r="G50" s="41"/>
      <c r="H50" s="42"/>
    </row>
    <row r="51" spans="1:8">
      <c r="A51" s="42"/>
      <c r="B51" s="42"/>
      <c r="C51" s="41"/>
      <c r="D51" s="41"/>
      <c r="E51" s="41"/>
      <c r="F51" s="41"/>
      <c r="G51" s="41"/>
      <c r="H51" s="42"/>
    </row>
    <row r="52" spans="1:8">
      <c r="A52" s="42"/>
      <c r="B52" s="42"/>
      <c r="C52" s="41"/>
      <c r="D52" s="41"/>
      <c r="E52" s="41"/>
      <c r="F52" s="41"/>
      <c r="G52" s="41"/>
      <c r="H52" s="42"/>
    </row>
    <row r="53" spans="1:8">
      <c r="A53" s="42"/>
      <c r="B53" s="42"/>
      <c r="C53" s="41"/>
      <c r="D53" s="41"/>
      <c r="E53" s="41"/>
      <c r="F53" s="41"/>
      <c r="G53" s="41"/>
      <c r="H53" s="42"/>
    </row>
    <row r="54" spans="1:8">
      <c r="A54" s="42"/>
      <c r="B54" s="42"/>
      <c r="C54" s="41"/>
      <c r="D54" s="41"/>
      <c r="E54" s="41"/>
      <c r="F54" s="41"/>
      <c r="G54" s="41"/>
      <c r="H54" s="42"/>
    </row>
    <row r="55" spans="1:8">
      <c r="A55" s="42"/>
      <c r="B55" s="42"/>
      <c r="C55" s="41"/>
      <c r="D55" s="41"/>
      <c r="E55" s="41"/>
      <c r="F55" s="41"/>
      <c r="G55" s="41"/>
      <c r="H55" s="42"/>
    </row>
    <row r="56" spans="1:8">
      <c r="A56" s="42"/>
      <c r="B56" s="42"/>
      <c r="C56" s="41"/>
      <c r="D56" s="41"/>
      <c r="E56" s="41"/>
      <c r="F56" s="41"/>
      <c r="G56" s="41"/>
      <c r="H56" s="42"/>
    </row>
    <row r="57" spans="1:8">
      <c r="A57" s="42"/>
      <c r="B57" s="42"/>
      <c r="C57" s="41"/>
      <c r="D57" s="41"/>
      <c r="E57" s="41"/>
      <c r="F57" s="41"/>
      <c r="G57" s="41"/>
      <c r="H57" s="42"/>
    </row>
    <row r="58" spans="1:8">
      <c r="A58" s="42"/>
      <c r="B58" s="42"/>
      <c r="C58" s="41"/>
      <c r="D58" s="41"/>
      <c r="E58" s="41"/>
      <c r="F58" s="41"/>
      <c r="G58" s="41"/>
      <c r="H58" s="42"/>
    </row>
    <row r="59" spans="1:8">
      <c r="A59" s="42"/>
      <c r="B59" s="42"/>
      <c r="C59" s="41"/>
      <c r="D59" s="41"/>
      <c r="E59" s="41"/>
      <c r="F59" s="41"/>
      <c r="G59" s="41"/>
      <c r="H59" s="42"/>
    </row>
    <row r="60" spans="1:8">
      <c r="A60" s="42"/>
      <c r="B60" s="42"/>
      <c r="C60" s="41"/>
      <c r="D60" s="41"/>
      <c r="E60" s="41"/>
      <c r="F60" s="41"/>
      <c r="G60" s="41"/>
      <c r="H60" s="42"/>
    </row>
    <row r="61" spans="1:8">
      <c r="A61" s="42"/>
      <c r="B61" s="42"/>
      <c r="C61" s="41"/>
      <c r="D61" s="41"/>
      <c r="E61" s="41"/>
      <c r="F61" s="41"/>
      <c r="G61" s="41"/>
      <c r="H61" s="42"/>
    </row>
    <row r="62" spans="1:8">
      <c r="A62" s="42"/>
      <c r="B62" s="42"/>
      <c r="C62" s="41"/>
      <c r="D62" s="41"/>
      <c r="E62" s="41"/>
      <c r="F62" s="41"/>
      <c r="G62" s="41"/>
      <c r="H62" s="42"/>
    </row>
    <row r="63" spans="1:8">
      <c r="A63" s="42"/>
      <c r="B63" s="42"/>
      <c r="C63" s="41"/>
      <c r="D63" s="41"/>
      <c r="E63" s="41"/>
      <c r="F63" s="41"/>
      <c r="G63" s="41"/>
      <c r="H63" s="42"/>
    </row>
    <row r="64" spans="1:8">
      <c r="A64" s="42"/>
      <c r="B64" s="42"/>
      <c r="C64" s="41"/>
      <c r="D64" s="41"/>
      <c r="E64" s="41"/>
      <c r="F64" s="41"/>
      <c r="G64" s="41"/>
      <c r="H64" s="42"/>
    </row>
  </sheetData>
  <pageMargins left="0.4" right="0.4" top="0.6" bottom="0.6" header="0.3" footer="0.3"/>
  <pageSetup paperSize="1" fitToHeight="0" orientation="landscape"/>
  <headerFooter>
    <oddHeader>&amp;L&amp;8&amp;K6B6B66Wean-to-Finish Group Projection&amp;R&amp;8&amp;K6B6B66&amp;A</oddHeader>
    <oddFooter>&amp;L&amp;8&amp;K6B6B66Printed &amp;D&amp;R&amp;8&amp;K6B6B66Page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E3B341"/>
    <pageSetUpPr fitToPage="1"/>
  </sheetPr>
  <dimension ref="A1:N19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2.7109375" customWidth="1"/>
    <col min="2" max="14" width="12.28515625" customWidth="1"/>
  </cols>
  <sheetData>
    <row r="1" spans="1:14" ht="30" customHeight="1">
      <c r="A1" s="1" t="s">
        <v>143</v>
      </c>
    </row>
    <row r="2" spans="1:14">
      <c r="A2" s="2" t="s">
        <v>144</v>
      </c>
    </row>
    <row r="4" spans="1:14" ht="30" customHeight="1">
      <c r="A4" s="16" t="s">
        <v>145</v>
      </c>
      <c r="B4" s="17" t="s">
        <v>146</v>
      </c>
      <c r="C4" s="17" t="s">
        <v>147</v>
      </c>
      <c r="D4" s="17" t="s">
        <v>148</v>
      </c>
      <c r="E4" s="17" t="s">
        <v>149</v>
      </c>
      <c r="F4" s="17" t="s">
        <v>150</v>
      </c>
      <c r="G4" s="17" t="s">
        <v>151</v>
      </c>
      <c r="H4" s="17" t="s">
        <v>152</v>
      </c>
      <c r="I4" s="17" t="s">
        <v>153</v>
      </c>
      <c r="J4" s="17" t="s">
        <v>154</v>
      </c>
      <c r="K4" s="17" t="s">
        <v>155</v>
      </c>
      <c r="L4" s="17" t="s">
        <v>156</v>
      </c>
      <c r="M4" s="17" t="s">
        <v>157</v>
      </c>
      <c r="N4" s="17" t="s">
        <v>43</v>
      </c>
    </row>
    <row r="5" spans="1:14">
      <c r="A5" s="42" t="s">
        <v>158</v>
      </c>
      <c r="B5" s="41">
        <v>20</v>
      </c>
      <c r="C5" s="41">
        <v>45</v>
      </c>
      <c r="D5" s="41">
        <v>22</v>
      </c>
      <c r="E5" s="41">
        <v>0</v>
      </c>
      <c r="F5" s="46">
        <f>IF(B5="",0,MAX(0,100-C5-D5-E5))</f>
        <v>0</v>
      </c>
      <c r="G5" s="41">
        <v>1600</v>
      </c>
      <c r="H5" s="46">
        <f>N(B5)*PigsFed/2000</f>
        <v>0</v>
      </c>
      <c r="I5" s="46">
        <f>H5*2000*N(C5)/100/56</f>
        <v>0</v>
      </c>
      <c r="J5" s="46">
        <f>H5*N(D5)/100</f>
        <v>0</v>
      </c>
      <c r="K5" s="46">
        <f>H5*N(E5)/100</f>
        <v>0</v>
      </c>
      <c r="L5" s="46">
        <f>H5*F5/100</f>
        <v>0</v>
      </c>
      <c r="M5" s="18">
        <f>I5*CornCash+J5*SbmCash+K5*DdgsPrice+L5*N(G5)+H5*FeedMill</f>
        <v>0</v>
      </c>
      <c r="N5" s="19">
        <f>IF(H5=0,0,M5/H5)</f>
        <v>0</v>
      </c>
    </row>
    <row r="6" spans="1:14">
      <c r="A6" s="42" t="s">
        <v>159</v>
      </c>
      <c r="B6" s="41">
        <v>35</v>
      </c>
      <c r="C6" s="41">
        <v>58</v>
      </c>
      <c r="D6" s="41">
        <v>25</v>
      </c>
      <c r="E6" s="41">
        <v>10</v>
      </c>
      <c r="F6" s="46">
        <f>IF(B6="",0,MAX(0,100-C6-D6-E6))</f>
        <v>0</v>
      </c>
      <c r="G6" s="41">
        <v>1000</v>
      </c>
      <c r="H6" s="46">
        <f>N(B6)*PigsFed/2000</f>
        <v>0</v>
      </c>
      <c r="I6" s="46">
        <f>H6*2000*N(C6)/100/56</f>
        <v>0</v>
      </c>
      <c r="J6" s="46">
        <f>H6*N(D6)/100</f>
        <v>0</v>
      </c>
      <c r="K6" s="46">
        <f>H6*N(E6)/100</f>
        <v>0</v>
      </c>
      <c r="L6" s="46">
        <f>H6*F6/100</f>
        <v>0</v>
      </c>
      <c r="M6" s="18">
        <f>I6*CornCash+J6*SbmCash+K6*DdgsPrice+L6*N(G6)+H6*FeedMill</f>
        <v>0</v>
      </c>
      <c r="N6" s="19">
        <f>IF(H6=0,0,M6/H6)</f>
        <v>0</v>
      </c>
    </row>
    <row r="7" spans="1:14">
      <c r="A7" s="42" t="s">
        <v>160</v>
      </c>
      <c r="B7" s="41">
        <v>120</v>
      </c>
      <c r="C7" s="41">
        <v>58</v>
      </c>
      <c r="D7" s="41">
        <v>20</v>
      </c>
      <c r="E7" s="41">
        <v>20</v>
      </c>
      <c r="F7" s="46">
        <f>IF(B7="",0,MAX(0,100-C7-D7-E7))</f>
        <v>0</v>
      </c>
      <c r="G7" s="41">
        <v>1200</v>
      </c>
      <c r="H7" s="46">
        <f>N(B7)*PigsFed/2000</f>
        <v>0</v>
      </c>
      <c r="I7" s="46">
        <f>H7*2000*N(C7)/100/56</f>
        <v>0</v>
      </c>
      <c r="J7" s="46">
        <f>H7*N(D7)/100</f>
        <v>0</v>
      </c>
      <c r="K7" s="46">
        <f>H7*N(E7)/100</f>
        <v>0</v>
      </c>
      <c r="L7" s="46">
        <f>H7*F7/100</f>
        <v>0</v>
      </c>
      <c r="M7" s="18">
        <f>I7*CornCash+J7*SbmCash+K7*DdgsPrice+L7*N(G7)+H7*FeedMill</f>
        <v>0</v>
      </c>
      <c r="N7" s="19">
        <f>IF(H7=0,0,M7/H7)</f>
        <v>0</v>
      </c>
    </row>
    <row r="8" spans="1:14">
      <c r="A8" s="42" t="s">
        <v>161</v>
      </c>
      <c r="B8" s="41">
        <v>160</v>
      </c>
      <c r="C8" s="41">
        <v>63</v>
      </c>
      <c r="D8" s="41">
        <v>14</v>
      </c>
      <c r="E8" s="41">
        <v>20</v>
      </c>
      <c r="F8" s="46">
        <f>IF(B8="",0,MAX(0,100-C8-D8-E8))</f>
        <v>0</v>
      </c>
      <c r="G8" s="41">
        <v>1200</v>
      </c>
      <c r="H8" s="46">
        <f>N(B8)*PigsFed/2000</f>
        <v>0</v>
      </c>
      <c r="I8" s="46">
        <f>H8*2000*N(C8)/100/56</f>
        <v>0</v>
      </c>
      <c r="J8" s="46">
        <f>H8*N(D8)/100</f>
        <v>0</v>
      </c>
      <c r="K8" s="46">
        <f>H8*N(E8)/100</f>
        <v>0</v>
      </c>
      <c r="L8" s="46">
        <f>H8*F8/100</f>
        <v>0</v>
      </c>
      <c r="M8" s="18">
        <f>I8*CornCash+J8*SbmCash+K8*DdgsPrice+L8*N(G8)+H8*FeedMill</f>
        <v>0</v>
      </c>
      <c r="N8" s="19">
        <f>IF(H8=0,0,M8/H8)</f>
        <v>0</v>
      </c>
    </row>
    <row r="9" spans="1:14">
      <c r="A9" s="42" t="s">
        <v>162</v>
      </c>
      <c r="B9" s="41">
        <v>180</v>
      </c>
      <c r="C9" s="41">
        <v>67</v>
      </c>
      <c r="D9" s="41">
        <v>10</v>
      </c>
      <c r="E9" s="41">
        <v>20</v>
      </c>
      <c r="F9" s="46">
        <f>IF(B9="",0,MAX(0,100-C9-D9-E9))</f>
        <v>0</v>
      </c>
      <c r="G9" s="41">
        <v>1200</v>
      </c>
      <c r="H9" s="46">
        <f>N(B9)*PigsFed/2000</f>
        <v>0</v>
      </c>
      <c r="I9" s="46">
        <f>H9*2000*N(C9)/100/56</f>
        <v>0</v>
      </c>
      <c r="J9" s="46">
        <f>H9*N(D9)/100</f>
        <v>0</v>
      </c>
      <c r="K9" s="46">
        <f>H9*N(E9)/100</f>
        <v>0</v>
      </c>
      <c r="L9" s="46">
        <f>H9*F9/100</f>
        <v>0</v>
      </c>
      <c r="M9" s="18">
        <f>I9*CornCash+J9*SbmCash+K9*DdgsPrice+L9*N(G9)+H9*FeedMill</f>
        <v>0</v>
      </c>
      <c r="N9" s="19">
        <f>IF(H9=0,0,M9/H9)</f>
        <v>0</v>
      </c>
    </row>
    <row r="10" spans="1:14">
      <c r="A10" s="42" t="s">
        <v>163</v>
      </c>
      <c r="B10" s="41">
        <v>195</v>
      </c>
      <c r="C10" s="41">
        <v>74</v>
      </c>
      <c r="D10" s="41">
        <v>8</v>
      </c>
      <c r="E10" s="41">
        <v>15</v>
      </c>
      <c r="F10" s="46">
        <f>IF(B10="",0,MAX(0,100-C10-D10-E10))</f>
        <v>0</v>
      </c>
      <c r="G10" s="41">
        <v>1200</v>
      </c>
      <c r="H10" s="46">
        <f>N(B10)*PigsFed/2000</f>
        <v>0</v>
      </c>
      <c r="I10" s="46">
        <f>H10*2000*N(C10)/100/56</f>
        <v>0</v>
      </c>
      <c r="J10" s="46">
        <f>H10*N(D10)/100</f>
        <v>0</v>
      </c>
      <c r="K10" s="46">
        <f>H10*N(E10)/100</f>
        <v>0</v>
      </c>
      <c r="L10" s="46">
        <f>H10*F10/100</f>
        <v>0</v>
      </c>
      <c r="M10" s="18">
        <f>I10*CornCash+J10*SbmCash+K10*DdgsPrice+L10*N(G10)+H10*FeedMill</f>
        <v>0</v>
      </c>
      <c r="N10" s="19">
        <f>IF(H10=0,0,M10/H10)</f>
        <v>0</v>
      </c>
    </row>
    <row r="11" spans="1:14">
      <c r="A11" s="42"/>
      <c r="B11" s="41"/>
      <c r="C11" s="41"/>
      <c r="D11" s="41"/>
      <c r="E11" s="41"/>
      <c r="F11" s="46">
        <f>IF(B11="",0,MAX(0,100-C11-D11-E11))</f>
        <v>0</v>
      </c>
      <c r="G11" s="41"/>
      <c r="H11" s="46">
        <f>N(B11)*PigsFed/2000</f>
        <v>0</v>
      </c>
      <c r="I11" s="46">
        <f>H11*2000*N(C11)/100/56</f>
        <v>0</v>
      </c>
      <c r="J11" s="46">
        <f>H11*N(D11)/100</f>
        <v>0</v>
      </c>
      <c r="K11" s="46">
        <f>H11*N(E11)/100</f>
        <v>0</v>
      </c>
      <c r="L11" s="46">
        <f>H11*F11/100</f>
        <v>0</v>
      </c>
      <c r="M11" s="18">
        <f>I11*CornCash+J11*SbmCash+K11*DdgsPrice+L11*N(G11)+H11*FeedMill</f>
        <v>0</v>
      </c>
      <c r="N11" s="19">
        <f>IF(H11=0,0,M11/H11)</f>
        <v>0</v>
      </c>
    </row>
    <row r="12" spans="1:14">
      <c r="A12" s="42"/>
      <c r="B12" s="41"/>
      <c r="C12" s="41"/>
      <c r="D12" s="41"/>
      <c r="E12" s="41"/>
      <c r="F12" s="46">
        <f>IF(B12="",0,MAX(0,100-C12-D12-E12))</f>
        <v>0</v>
      </c>
      <c r="G12" s="41"/>
      <c r="H12" s="46">
        <f>N(B12)*PigsFed/2000</f>
        <v>0</v>
      </c>
      <c r="I12" s="46">
        <f>H12*2000*N(C12)/100/56</f>
        <v>0</v>
      </c>
      <c r="J12" s="46">
        <f>H12*N(D12)/100</f>
        <v>0</v>
      </c>
      <c r="K12" s="46">
        <f>H12*N(E12)/100</f>
        <v>0</v>
      </c>
      <c r="L12" s="46">
        <f>H12*F12/100</f>
        <v>0</v>
      </c>
      <c r="M12" s="18">
        <f>I12*CornCash+J12*SbmCash+K12*DdgsPrice+L12*N(G12)+H12*FeedMill</f>
        <v>0</v>
      </c>
      <c r="N12" s="19">
        <f>IF(H12=0,0,M12/H12)</f>
        <v>0</v>
      </c>
    </row>
    <row r="13" spans="1:14">
      <c r="A13" s="42"/>
      <c r="B13" s="41"/>
      <c r="C13" s="41"/>
      <c r="D13" s="41"/>
      <c r="E13" s="41"/>
      <c r="F13" s="46">
        <f>IF(B13="",0,MAX(0,100-C13-D13-E13))</f>
        <v>0</v>
      </c>
      <c r="G13" s="41"/>
      <c r="H13" s="46">
        <f>N(B13)*PigsFed/2000</f>
        <v>0</v>
      </c>
      <c r="I13" s="46">
        <f>H13*2000*N(C13)/100/56</f>
        <v>0</v>
      </c>
      <c r="J13" s="46">
        <f>H13*N(D13)/100</f>
        <v>0</v>
      </c>
      <c r="K13" s="46">
        <f>H13*N(E13)/100</f>
        <v>0</v>
      </c>
      <c r="L13" s="46">
        <f>H13*F13/100</f>
        <v>0</v>
      </c>
      <c r="M13" s="18">
        <f>I13*CornCash+J13*SbmCash+K13*DdgsPrice+L13*N(G13)+H13*FeedMill</f>
        <v>0</v>
      </c>
      <c r="N13" s="19">
        <f>IF(H13=0,0,M13/H13)</f>
        <v>0</v>
      </c>
    </row>
    <row r="14" spans="1:14">
      <c r="A14" s="42"/>
      <c r="B14" s="41"/>
      <c r="C14" s="41"/>
      <c r="D14" s="41"/>
      <c r="E14" s="41"/>
      <c r="F14" s="46">
        <f>IF(B14="",0,MAX(0,100-C14-D14-E14))</f>
        <v>0</v>
      </c>
      <c r="G14" s="41"/>
      <c r="H14" s="46">
        <f>N(B14)*PigsFed/2000</f>
        <v>0</v>
      </c>
      <c r="I14" s="46">
        <f>H14*2000*N(C14)/100/56</f>
        <v>0</v>
      </c>
      <c r="J14" s="46">
        <f>H14*N(D14)/100</f>
        <v>0</v>
      </c>
      <c r="K14" s="46">
        <f>H14*N(E14)/100</f>
        <v>0</v>
      </c>
      <c r="L14" s="46">
        <f>H14*F14/100</f>
        <v>0</v>
      </c>
      <c r="M14" s="18">
        <f>I14*CornCash+J14*SbmCash+K14*DdgsPrice+L14*N(G14)+H14*FeedMill</f>
        <v>0</v>
      </c>
      <c r="N14" s="19">
        <f>IF(H14=0,0,M14/H14)</f>
        <v>0</v>
      </c>
    </row>
    <row r="15" spans="1:14">
      <c r="A15" s="42"/>
      <c r="B15" s="41"/>
      <c r="C15" s="41"/>
      <c r="D15" s="41"/>
      <c r="E15" s="41"/>
      <c r="F15" s="46">
        <f>IF(B15="",0,MAX(0,100-C15-D15-E15))</f>
        <v>0</v>
      </c>
      <c r="G15" s="41"/>
      <c r="H15" s="46">
        <f>N(B15)*PigsFed/2000</f>
        <v>0</v>
      </c>
      <c r="I15" s="46">
        <f>H15*2000*N(C15)/100/56</f>
        <v>0</v>
      </c>
      <c r="J15" s="46">
        <f>H15*N(D15)/100</f>
        <v>0</v>
      </c>
      <c r="K15" s="46">
        <f>H15*N(E15)/100</f>
        <v>0</v>
      </c>
      <c r="L15" s="46">
        <f>H15*F15/100</f>
        <v>0</v>
      </c>
      <c r="M15" s="18">
        <f>I15*CornCash+J15*SbmCash+K15*DdgsPrice+L15*N(G15)+H15*FeedMill</f>
        <v>0</v>
      </c>
      <c r="N15" s="19">
        <f>IF(H15=0,0,M15/H15)</f>
        <v>0</v>
      </c>
    </row>
    <row r="16" spans="1:14">
      <c r="A16" s="42"/>
      <c r="B16" s="41"/>
      <c r="C16" s="41"/>
      <c r="D16" s="41"/>
      <c r="E16" s="41"/>
      <c r="F16" s="46">
        <f>IF(B16="",0,MAX(0,100-C16-D16-E16))</f>
        <v>0</v>
      </c>
      <c r="G16" s="41"/>
      <c r="H16" s="46">
        <f>N(B16)*PigsFed/2000</f>
        <v>0</v>
      </c>
      <c r="I16" s="46">
        <f>H16*2000*N(C16)/100/56</f>
        <v>0</v>
      </c>
      <c r="J16" s="46">
        <f>H16*N(D16)/100</f>
        <v>0</v>
      </c>
      <c r="K16" s="46">
        <f>H16*N(E16)/100</f>
        <v>0</v>
      </c>
      <c r="L16" s="46">
        <f>H16*F16/100</f>
        <v>0</v>
      </c>
      <c r="M16" s="18">
        <f>I16*CornCash+J16*SbmCash+K16*DdgsPrice+L16*N(G16)+H16*FeedMill</f>
        <v>0</v>
      </c>
      <c r="N16" s="19">
        <f>IF(H16=0,0,M16/H16)</f>
        <v>0</v>
      </c>
    </row>
    <row r="17" spans="1:14">
      <c r="A17" s="30" t="s">
        <v>164</v>
      </c>
      <c r="B17" s="47">
        <f>SUM(B5:B16)</f>
        <v>0</v>
      </c>
      <c r="C17" s="47"/>
      <c r="D17" s="47"/>
      <c r="E17" s="47"/>
      <c r="F17" s="47"/>
      <c r="G17" s="47"/>
      <c r="H17" s="47">
        <f>SUM(H5:H16)</f>
        <v>0</v>
      </c>
      <c r="I17" s="47">
        <f>SUM(I5:I16)</f>
        <v>0</v>
      </c>
      <c r="J17" s="47">
        <f>SUM(J5:J16)</f>
        <v>0</v>
      </c>
      <c r="K17" s="47">
        <f>SUM(K5:K16)</f>
        <v>0</v>
      </c>
      <c r="L17" s="47">
        <f>SUM(L5:L16)</f>
        <v>0</v>
      </c>
      <c r="M17" s="31">
        <f>SUM(M5:M16)</f>
        <v>0</v>
      </c>
      <c r="N17" s="32">
        <f>IF(H17=0,0,M17/H17)</f>
        <v>0</v>
      </c>
    </row>
    <row r="19" spans="1:14">
      <c r="A19" s="10" t="s">
        <v>165</v>
      </c>
    </row>
  </sheetData>
  <pageMargins left="0.4" right="0.4" top="0.6" bottom="0.6" header="0.3" footer="0.3"/>
  <pageSetup paperSize="1" fitToHeight="0" orientation="landscape"/>
  <headerFooter>
    <oddHeader>&amp;L&amp;8&amp;K6B6B66Wean-to-Finish Group Projection&amp;R&amp;8&amp;K6B6B66&amp;A</oddHeader>
    <oddFooter>&amp;L&amp;8&amp;K6B6B66Printed &amp;D&amp;R&amp;8&amp;K6B6B66Page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E3B341"/>
    <pageSetUpPr fitToPage="1"/>
  </sheetPr>
  <dimension ref="A1:M15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3" width="13.7109375" customWidth="1"/>
  </cols>
  <sheetData>
    <row r="1" spans="1:13" ht="30" customHeight="1">
      <c r="A1" s="1" t="s">
        <v>200</v>
      </c>
    </row>
    <row r="2" spans="1:13">
      <c r="A2" s="2" t="s">
        <v>201</v>
      </c>
    </row>
    <row r="4" spans="1:13" ht="30" customHeight="1">
      <c r="A4" s="17" t="s">
        <v>202</v>
      </c>
      <c r="B4" s="17" t="s">
        <v>203</v>
      </c>
      <c r="C4" s="17" t="s">
        <v>204</v>
      </c>
      <c r="D4" s="17" t="s">
        <v>205</v>
      </c>
      <c r="E4" s="17" t="s">
        <v>168</v>
      </c>
      <c r="F4" s="17" t="s">
        <v>206</v>
      </c>
      <c r="G4" s="17" t="s">
        <v>207</v>
      </c>
      <c r="H4" s="17" t="s">
        <v>208</v>
      </c>
      <c r="I4" s="17" t="s">
        <v>209</v>
      </c>
      <c r="J4" s="17" t="s">
        <v>210</v>
      </c>
      <c r="K4" s="17" t="s">
        <v>211</v>
      </c>
      <c r="L4" s="17" t="s">
        <v>212</v>
      </c>
      <c r="M4" s="17" t="s">
        <v>213</v>
      </c>
    </row>
    <row r="5" spans="1:13">
      <c r="A5" s="38">
        <v>145</v>
      </c>
      <c r="B5" s="43">
        <v>20</v>
      </c>
      <c r="C5" s="41">
        <v>270</v>
      </c>
      <c r="D5" s="48">
        <f>IF(A5&lt;&gt;"",PlacementDate+A5,"")</f>
        <v>0</v>
      </c>
      <c r="E5" s="49">
        <f>IF(A5&lt;&gt;"",(YEAR(D5)+(IF(AND(ISNUMBER(MATCH(MONTH(D5),{2,4,5,6,7,8,10,12},0)),DAY(D5)&lt;=14),MONTH(D5),IF(MONTH(D5)&lt;2,2,IF(MONTH(D5)&lt;4,4,IF(MONTH(D5)&lt;8,MONTH(D5)+1,IF(MONTH(D5)&lt;10,10,IF(MONTH(D5)&lt;12,12,14))))))&gt;12))&amp;"-"&amp;TEXT(IF(AND(ISNUMBER(MATCH(MONTH(D5),{2,4,5,6,7,8,10,12},0)),DAY(D5)&lt;=14),MONTH(D5),IF(MONTH(D5)&lt;2,2,IF(MONTH(D5)&lt;4,4,IF(MONTH(D5)&lt;8,MONTH(D5)+1,IF(MONTH(D5)&lt;10,10,IF(MONTH(D5)&lt;12,12,14))))))-12*(IF(AND(ISNUMBER(MATCH(MONTH(D5),{2,4,5,6,7,8,10,12},0)),DAY(D5)&lt;=14),MONTH(D5),IF(MONTH(D5)&lt;2,2,IF(MONTH(D5)&lt;4,4,IF(MONTH(D5)&lt;8,MONTH(D5)+1,IF(MONTH(D5)&lt;10,10,IF(MONTH(D5)&lt;12,12,14))))))&gt;12),"00"),"")</f>
        <v>0</v>
      </c>
      <c r="F5" s="50">
        <f>IF(A5&lt;&gt;"",(MONTH(D5)-1)*2+IF(DAY(D5)&lt;=14,1,2),0)</f>
        <v>0</v>
      </c>
      <c r="G5" s="46">
        <f>IF(AND(A5&lt;&gt;"",N(B5)&gt;0),INDEX(FutPrices,MATCH(E5,FutContracts,0))*(1-HogHedgePct/100)+HogHedged*HogHedgePct/100,0)</f>
        <v>0</v>
      </c>
      <c r="H5" s="46">
        <f>IF(AND(A5&lt;&gt;"",N(B5)&gt;0),INDEX(BasisByPeriod,F5),0)</f>
        <v>0</v>
      </c>
      <c r="I5" s="46">
        <f>IF(AND(A5&lt;&gt;"",N(B5)&gt;0),Premium,0)</f>
        <v>0</v>
      </c>
      <c r="J5" s="19">
        <f>G5+H5+I5</f>
        <v>0</v>
      </c>
      <c r="K5" s="46">
        <f>HeadSold*N(B5)/100</f>
        <v>0</v>
      </c>
      <c r="L5" s="46">
        <f>N(C5)*YieldPct/100</f>
        <v>0</v>
      </c>
      <c r="M5" s="18">
        <f>K5*L5/100*J5</f>
        <v>0</v>
      </c>
    </row>
    <row r="6" spans="1:13">
      <c r="A6" s="38">
        <v>160</v>
      </c>
      <c r="B6" s="43">
        <v>40</v>
      </c>
      <c r="C6" s="41">
        <v>285</v>
      </c>
      <c r="D6" s="48">
        <f>IF(A6&lt;&gt;"",PlacementDate+A6,"")</f>
        <v>0</v>
      </c>
      <c r="E6" s="49">
        <f>IF(A6&lt;&gt;"",(YEAR(D6)+(IF(AND(ISNUMBER(MATCH(MONTH(D6),{2,4,5,6,7,8,10,12},0)),DAY(D6)&lt;=14),MONTH(D6),IF(MONTH(D6)&lt;2,2,IF(MONTH(D6)&lt;4,4,IF(MONTH(D6)&lt;8,MONTH(D6)+1,IF(MONTH(D6)&lt;10,10,IF(MONTH(D6)&lt;12,12,14))))))&gt;12))&amp;"-"&amp;TEXT(IF(AND(ISNUMBER(MATCH(MONTH(D6),{2,4,5,6,7,8,10,12},0)),DAY(D6)&lt;=14),MONTH(D6),IF(MONTH(D6)&lt;2,2,IF(MONTH(D6)&lt;4,4,IF(MONTH(D6)&lt;8,MONTH(D6)+1,IF(MONTH(D6)&lt;10,10,IF(MONTH(D6)&lt;12,12,14))))))-12*(IF(AND(ISNUMBER(MATCH(MONTH(D6),{2,4,5,6,7,8,10,12},0)),DAY(D6)&lt;=14),MONTH(D6),IF(MONTH(D6)&lt;2,2,IF(MONTH(D6)&lt;4,4,IF(MONTH(D6)&lt;8,MONTH(D6)+1,IF(MONTH(D6)&lt;10,10,IF(MONTH(D6)&lt;12,12,14))))))&gt;12),"00"),"")</f>
        <v>0</v>
      </c>
      <c r="F6" s="50">
        <f>IF(A6&lt;&gt;"",(MONTH(D6)-1)*2+IF(DAY(D6)&lt;=14,1,2),0)</f>
        <v>0</v>
      </c>
      <c r="G6" s="46">
        <f>IF(AND(A6&lt;&gt;"",N(B6)&gt;0),INDEX(FutPrices,MATCH(E6,FutContracts,0))*(1-HogHedgePct/100)+HogHedged*HogHedgePct/100,0)</f>
        <v>0</v>
      </c>
      <c r="H6" s="46">
        <f>IF(AND(A6&lt;&gt;"",N(B6)&gt;0),INDEX(BasisByPeriod,F6),0)</f>
        <v>0</v>
      </c>
      <c r="I6" s="46">
        <f>IF(AND(A6&lt;&gt;"",N(B6)&gt;0),Premium,0)</f>
        <v>0</v>
      </c>
      <c r="J6" s="19">
        <f>G6+H6+I6</f>
        <v>0</v>
      </c>
      <c r="K6" s="46">
        <f>HeadSold*N(B6)/100</f>
        <v>0</v>
      </c>
      <c r="L6" s="46">
        <f>N(C6)*YieldPct/100</f>
        <v>0</v>
      </c>
      <c r="M6" s="18">
        <f>K6*L6/100*J6</f>
        <v>0</v>
      </c>
    </row>
    <row r="7" spans="1:13">
      <c r="A7" s="38">
        <v>175</v>
      </c>
      <c r="B7" s="43">
        <v>40</v>
      </c>
      <c r="C7" s="41">
        <v>290</v>
      </c>
      <c r="D7" s="48">
        <f>IF(A7&lt;&gt;"",PlacementDate+A7,"")</f>
        <v>0</v>
      </c>
      <c r="E7" s="49">
        <f>IF(A7&lt;&gt;"",(YEAR(D7)+(IF(AND(ISNUMBER(MATCH(MONTH(D7),{2,4,5,6,7,8,10,12},0)),DAY(D7)&lt;=14),MONTH(D7),IF(MONTH(D7)&lt;2,2,IF(MONTH(D7)&lt;4,4,IF(MONTH(D7)&lt;8,MONTH(D7)+1,IF(MONTH(D7)&lt;10,10,IF(MONTH(D7)&lt;12,12,14))))))&gt;12))&amp;"-"&amp;TEXT(IF(AND(ISNUMBER(MATCH(MONTH(D7),{2,4,5,6,7,8,10,12},0)),DAY(D7)&lt;=14),MONTH(D7),IF(MONTH(D7)&lt;2,2,IF(MONTH(D7)&lt;4,4,IF(MONTH(D7)&lt;8,MONTH(D7)+1,IF(MONTH(D7)&lt;10,10,IF(MONTH(D7)&lt;12,12,14))))))-12*(IF(AND(ISNUMBER(MATCH(MONTH(D7),{2,4,5,6,7,8,10,12},0)),DAY(D7)&lt;=14),MONTH(D7),IF(MONTH(D7)&lt;2,2,IF(MONTH(D7)&lt;4,4,IF(MONTH(D7)&lt;8,MONTH(D7)+1,IF(MONTH(D7)&lt;10,10,IF(MONTH(D7)&lt;12,12,14))))))&gt;12),"00"),"")</f>
        <v>0</v>
      </c>
      <c r="F7" s="50">
        <f>IF(A7&lt;&gt;"",(MONTH(D7)-1)*2+IF(DAY(D7)&lt;=14,1,2),0)</f>
        <v>0</v>
      </c>
      <c r="G7" s="46">
        <f>IF(AND(A7&lt;&gt;"",N(B7)&gt;0),INDEX(FutPrices,MATCH(E7,FutContracts,0))*(1-HogHedgePct/100)+HogHedged*HogHedgePct/100,0)</f>
        <v>0</v>
      </c>
      <c r="H7" s="46">
        <f>IF(AND(A7&lt;&gt;"",N(B7)&gt;0),INDEX(BasisByPeriod,F7),0)</f>
        <v>0</v>
      </c>
      <c r="I7" s="46">
        <f>IF(AND(A7&lt;&gt;"",N(B7)&gt;0),Premium,0)</f>
        <v>0</v>
      </c>
      <c r="J7" s="19">
        <f>G7+H7+I7</f>
        <v>0</v>
      </c>
      <c r="K7" s="46">
        <f>HeadSold*N(B7)/100</f>
        <v>0</v>
      </c>
      <c r="L7" s="46">
        <f>N(C7)*YieldPct/100</f>
        <v>0</v>
      </c>
      <c r="M7" s="18">
        <f>K7*L7/100*J7</f>
        <v>0</v>
      </c>
    </row>
    <row r="8" spans="1:13">
      <c r="A8" s="41"/>
      <c r="B8" s="41"/>
      <c r="C8" s="41"/>
      <c r="D8" s="48">
        <f>IF(A8&lt;&gt;"",PlacementDate+A8,"")</f>
        <v>0</v>
      </c>
      <c r="E8" s="49">
        <f>IF(A8&lt;&gt;"",(YEAR(D8)+(IF(AND(ISNUMBER(MATCH(MONTH(D8),{2,4,5,6,7,8,10,12},0)),DAY(D8)&lt;=14),MONTH(D8),IF(MONTH(D8)&lt;2,2,IF(MONTH(D8)&lt;4,4,IF(MONTH(D8)&lt;8,MONTH(D8)+1,IF(MONTH(D8)&lt;10,10,IF(MONTH(D8)&lt;12,12,14))))))&gt;12))&amp;"-"&amp;TEXT(IF(AND(ISNUMBER(MATCH(MONTH(D8),{2,4,5,6,7,8,10,12},0)),DAY(D8)&lt;=14),MONTH(D8),IF(MONTH(D8)&lt;2,2,IF(MONTH(D8)&lt;4,4,IF(MONTH(D8)&lt;8,MONTH(D8)+1,IF(MONTH(D8)&lt;10,10,IF(MONTH(D8)&lt;12,12,14))))))-12*(IF(AND(ISNUMBER(MATCH(MONTH(D8),{2,4,5,6,7,8,10,12},0)),DAY(D8)&lt;=14),MONTH(D8),IF(MONTH(D8)&lt;2,2,IF(MONTH(D8)&lt;4,4,IF(MONTH(D8)&lt;8,MONTH(D8)+1,IF(MONTH(D8)&lt;10,10,IF(MONTH(D8)&lt;12,12,14))))))&gt;12),"00"),"")</f>
        <v>0</v>
      </c>
      <c r="F8" s="50">
        <f>IF(A8&lt;&gt;"",(MONTH(D8)-1)*2+IF(DAY(D8)&lt;=14,1,2),0)</f>
        <v>0</v>
      </c>
      <c r="G8" s="46">
        <f>IF(AND(A8&lt;&gt;"",N(B8)&gt;0),INDEX(FutPrices,MATCH(E8,FutContracts,0))*(1-HogHedgePct/100)+HogHedged*HogHedgePct/100,0)</f>
        <v>0</v>
      </c>
      <c r="H8" s="46">
        <f>IF(AND(A8&lt;&gt;"",N(B8)&gt;0),INDEX(BasisByPeriod,F8),0)</f>
        <v>0</v>
      </c>
      <c r="I8" s="46">
        <f>IF(AND(A8&lt;&gt;"",N(B8)&gt;0),Premium,0)</f>
        <v>0</v>
      </c>
      <c r="J8" s="19">
        <f>G8+H8+I8</f>
        <v>0</v>
      </c>
      <c r="K8" s="46">
        <f>HeadSold*N(B8)/100</f>
        <v>0</v>
      </c>
      <c r="L8" s="46">
        <f>N(C8)*YieldPct/100</f>
        <v>0</v>
      </c>
      <c r="M8" s="18">
        <f>K8*L8/100*J8</f>
        <v>0</v>
      </c>
    </row>
    <row r="9" spans="1:13">
      <c r="A9" s="41"/>
      <c r="B9" s="41"/>
      <c r="C9" s="41"/>
      <c r="D9" s="48">
        <f>IF(A9&lt;&gt;"",PlacementDate+A9,"")</f>
        <v>0</v>
      </c>
      <c r="E9" s="49">
        <f>IF(A9&lt;&gt;"",(YEAR(D9)+(IF(AND(ISNUMBER(MATCH(MONTH(D9),{2,4,5,6,7,8,10,12},0)),DAY(D9)&lt;=14),MONTH(D9),IF(MONTH(D9)&lt;2,2,IF(MONTH(D9)&lt;4,4,IF(MONTH(D9)&lt;8,MONTH(D9)+1,IF(MONTH(D9)&lt;10,10,IF(MONTH(D9)&lt;12,12,14))))))&gt;12))&amp;"-"&amp;TEXT(IF(AND(ISNUMBER(MATCH(MONTH(D9),{2,4,5,6,7,8,10,12},0)),DAY(D9)&lt;=14),MONTH(D9),IF(MONTH(D9)&lt;2,2,IF(MONTH(D9)&lt;4,4,IF(MONTH(D9)&lt;8,MONTH(D9)+1,IF(MONTH(D9)&lt;10,10,IF(MONTH(D9)&lt;12,12,14))))))-12*(IF(AND(ISNUMBER(MATCH(MONTH(D9),{2,4,5,6,7,8,10,12},0)),DAY(D9)&lt;=14),MONTH(D9),IF(MONTH(D9)&lt;2,2,IF(MONTH(D9)&lt;4,4,IF(MONTH(D9)&lt;8,MONTH(D9)+1,IF(MONTH(D9)&lt;10,10,IF(MONTH(D9)&lt;12,12,14))))))&gt;12),"00"),"")</f>
        <v>0</v>
      </c>
      <c r="F9" s="50">
        <f>IF(A9&lt;&gt;"",(MONTH(D9)-1)*2+IF(DAY(D9)&lt;=14,1,2),0)</f>
        <v>0</v>
      </c>
      <c r="G9" s="46">
        <f>IF(AND(A9&lt;&gt;"",N(B9)&gt;0),INDEX(FutPrices,MATCH(E9,FutContracts,0))*(1-HogHedgePct/100)+HogHedged*HogHedgePct/100,0)</f>
        <v>0</v>
      </c>
      <c r="H9" s="46">
        <f>IF(AND(A9&lt;&gt;"",N(B9)&gt;0),INDEX(BasisByPeriod,F9),0)</f>
        <v>0</v>
      </c>
      <c r="I9" s="46">
        <f>IF(AND(A9&lt;&gt;"",N(B9)&gt;0),Premium,0)</f>
        <v>0</v>
      </c>
      <c r="J9" s="19">
        <f>G9+H9+I9</f>
        <v>0</v>
      </c>
      <c r="K9" s="46">
        <f>HeadSold*N(B9)/100</f>
        <v>0</v>
      </c>
      <c r="L9" s="46">
        <f>N(C9)*YieldPct/100</f>
        <v>0</v>
      </c>
      <c r="M9" s="18">
        <f>K9*L9/100*J9</f>
        <v>0</v>
      </c>
    </row>
    <row r="10" spans="1:13">
      <c r="A10" s="41"/>
      <c r="B10" s="41"/>
      <c r="C10" s="41"/>
      <c r="D10" s="48">
        <f>IF(A10&lt;&gt;"",PlacementDate+A10,"")</f>
        <v>0</v>
      </c>
      <c r="E10" s="49">
        <f>IF(A10&lt;&gt;"",(YEAR(D10)+(IF(AND(ISNUMBER(MATCH(MONTH(D10),{2,4,5,6,7,8,10,12},0)),DAY(D10)&lt;=14),MONTH(D10),IF(MONTH(D10)&lt;2,2,IF(MONTH(D10)&lt;4,4,IF(MONTH(D10)&lt;8,MONTH(D10)+1,IF(MONTH(D10)&lt;10,10,IF(MONTH(D10)&lt;12,12,14))))))&gt;12))&amp;"-"&amp;TEXT(IF(AND(ISNUMBER(MATCH(MONTH(D10),{2,4,5,6,7,8,10,12},0)),DAY(D10)&lt;=14),MONTH(D10),IF(MONTH(D10)&lt;2,2,IF(MONTH(D10)&lt;4,4,IF(MONTH(D10)&lt;8,MONTH(D10)+1,IF(MONTH(D10)&lt;10,10,IF(MONTH(D10)&lt;12,12,14))))))-12*(IF(AND(ISNUMBER(MATCH(MONTH(D10),{2,4,5,6,7,8,10,12},0)),DAY(D10)&lt;=14),MONTH(D10),IF(MONTH(D10)&lt;2,2,IF(MONTH(D10)&lt;4,4,IF(MONTH(D10)&lt;8,MONTH(D10)+1,IF(MONTH(D10)&lt;10,10,IF(MONTH(D10)&lt;12,12,14))))))&gt;12),"00"),"")</f>
        <v>0</v>
      </c>
      <c r="F10" s="50">
        <f>IF(A10&lt;&gt;"",(MONTH(D10)-1)*2+IF(DAY(D10)&lt;=14,1,2),0)</f>
        <v>0</v>
      </c>
      <c r="G10" s="46">
        <f>IF(AND(A10&lt;&gt;"",N(B10)&gt;0),INDEX(FutPrices,MATCH(E10,FutContracts,0))*(1-HogHedgePct/100)+HogHedged*HogHedgePct/100,0)</f>
        <v>0</v>
      </c>
      <c r="H10" s="46">
        <f>IF(AND(A10&lt;&gt;"",N(B10)&gt;0),INDEX(BasisByPeriod,F10),0)</f>
        <v>0</v>
      </c>
      <c r="I10" s="46">
        <f>IF(AND(A10&lt;&gt;"",N(B10)&gt;0),Premium,0)</f>
        <v>0</v>
      </c>
      <c r="J10" s="19">
        <f>G10+H10+I10</f>
        <v>0</v>
      </c>
      <c r="K10" s="46">
        <f>HeadSold*N(B10)/100</f>
        <v>0</v>
      </c>
      <c r="L10" s="46">
        <f>N(C10)*YieldPct/100</f>
        <v>0</v>
      </c>
      <c r="M10" s="18">
        <f>K10*L10/100*J10</f>
        <v>0</v>
      </c>
    </row>
    <row r="11" spans="1:13">
      <c r="A11" s="41"/>
      <c r="B11" s="41"/>
      <c r="C11" s="41"/>
      <c r="D11" s="48">
        <f>IF(A11&lt;&gt;"",PlacementDate+A11,"")</f>
        <v>0</v>
      </c>
      <c r="E11" s="49">
        <f>IF(A11&lt;&gt;"",(YEAR(D11)+(IF(AND(ISNUMBER(MATCH(MONTH(D11),{2,4,5,6,7,8,10,12},0)),DAY(D11)&lt;=14),MONTH(D11),IF(MONTH(D11)&lt;2,2,IF(MONTH(D11)&lt;4,4,IF(MONTH(D11)&lt;8,MONTH(D11)+1,IF(MONTH(D11)&lt;10,10,IF(MONTH(D11)&lt;12,12,14))))))&gt;12))&amp;"-"&amp;TEXT(IF(AND(ISNUMBER(MATCH(MONTH(D11),{2,4,5,6,7,8,10,12},0)),DAY(D11)&lt;=14),MONTH(D11),IF(MONTH(D11)&lt;2,2,IF(MONTH(D11)&lt;4,4,IF(MONTH(D11)&lt;8,MONTH(D11)+1,IF(MONTH(D11)&lt;10,10,IF(MONTH(D11)&lt;12,12,14))))))-12*(IF(AND(ISNUMBER(MATCH(MONTH(D11),{2,4,5,6,7,8,10,12},0)),DAY(D11)&lt;=14),MONTH(D11),IF(MONTH(D11)&lt;2,2,IF(MONTH(D11)&lt;4,4,IF(MONTH(D11)&lt;8,MONTH(D11)+1,IF(MONTH(D11)&lt;10,10,IF(MONTH(D11)&lt;12,12,14))))))&gt;12),"00"),"")</f>
        <v>0</v>
      </c>
      <c r="F11" s="50">
        <f>IF(A11&lt;&gt;"",(MONTH(D11)-1)*2+IF(DAY(D11)&lt;=14,1,2),0)</f>
        <v>0</v>
      </c>
      <c r="G11" s="46">
        <f>IF(AND(A11&lt;&gt;"",N(B11)&gt;0),INDEX(FutPrices,MATCH(E11,FutContracts,0))*(1-HogHedgePct/100)+HogHedged*HogHedgePct/100,0)</f>
        <v>0</v>
      </c>
      <c r="H11" s="46">
        <f>IF(AND(A11&lt;&gt;"",N(B11)&gt;0),INDEX(BasisByPeriod,F11),0)</f>
        <v>0</v>
      </c>
      <c r="I11" s="46">
        <f>IF(AND(A11&lt;&gt;"",N(B11)&gt;0),Premium,0)</f>
        <v>0</v>
      </c>
      <c r="J11" s="19">
        <f>G11+H11+I11</f>
        <v>0</v>
      </c>
      <c r="K11" s="46">
        <f>HeadSold*N(B11)/100</f>
        <v>0</v>
      </c>
      <c r="L11" s="46">
        <f>N(C11)*YieldPct/100</f>
        <v>0</v>
      </c>
      <c r="M11" s="18">
        <f>K11*L11/100*J11</f>
        <v>0</v>
      </c>
    </row>
    <row r="12" spans="1:13">
      <c r="A12" s="41"/>
      <c r="B12" s="41"/>
      <c r="C12" s="41"/>
      <c r="D12" s="48">
        <f>IF(A12&lt;&gt;"",PlacementDate+A12,"")</f>
        <v>0</v>
      </c>
      <c r="E12" s="49">
        <f>IF(A12&lt;&gt;"",(YEAR(D12)+(IF(AND(ISNUMBER(MATCH(MONTH(D12),{2,4,5,6,7,8,10,12},0)),DAY(D12)&lt;=14),MONTH(D12),IF(MONTH(D12)&lt;2,2,IF(MONTH(D12)&lt;4,4,IF(MONTH(D12)&lt;8,MONTH(D12)+1,IF(MONTH(D12)&lt;10,10,IF(MONTH(D12)&lt;12,12,14))))))&gt;12))&amp;"-"&amp;TEXT(IF(AND(ISNUMBER(MATCH(MONTH(D12),{2,4,5,6,7,8,10,12},0)),DAY(D12)&lt;=14),MONTH(D12),IF(MONTH(D12)&lt;2,2,IF(MONTH(D12)&lt;4,4,IF(MONTH(D12)&lt;8,MONTH(D12)+1,IF(MONTH(D12)&lt;10,10,IF(MONTH(D12)&lt;12,12,14))))))-12*(IF(AND(ISNUMBER(MATCH(MONTH(D12),{2,4,5,6,7,8,10,12},0)),DAY(D12)&lt;=14),MONTH(D12),IF(MONTH(D12)&lt;2,2,IF(MONTH(D12)&lt;4,4,IF(MONTH(D12)&lt;8,MONTH(D12)+1,IF(MONTH(D12)&lt;10,10,IF(MONTH(D12)&lt;12,12,14))))))&gt;12),"00"),"")</f>
        <v>0</v>
      </c>
      <c r="F12" s="50">
        <f>IF(A12&lt;&gt;"",(MONTH(D12)-1)*2+IF(DAY(D12)&lt;=14,1,2),0)</f>
        <v>0</v>
      </c>
      <c r="G12" s="46">
        <f>IF(AND(A12&lt;&gt;"",N(B12)&gt;0),INDEX(FutPrices,MATCH(E12,FutContracts,0))*(1-HogHedgePct/100)+HogHedged*HogHedgePct/100,0)</f>
        <v>0</v>
      </c>
      <c r="H12" s="46">
        <f>IF(AND(A12&lt;&gt;"",N(B12)&gt;0),INDEX(BasisByPeriod,F12),0)</f>
        <v>0</v>
      </c>
      <c r="I12" s="46">
        <f>IF(AND(A12&lt;&gt;"",N(B12)&gt;0),Premium,0)</f>
        <v>0</v>
      </c>
      <c r="J12" s="19">
        <f>G12+H12+I12</f>
        <v>0</v>
      </c>
      <c r="K12" s="46">
        <f>HeadSold*N(B12)/100</f>
        <v>0</v>
      </c>
      <c r="L12" s="46">
        <f>N(C12)*YieldPct/100</f>
        <v>0</v>
      </c>
      <c r="M12" s="18">
        <f>K12*L12/100*J12</f>
        <v>0</v>
      </c>
    </row>
    <row r="13" spans="1:13">
      <c r="A13" s="30" t="s">
        <v>164</v>
      </c>
      <c r="B13" s="47">
        <f>SUM(B5:B12)</f>
        <v>0</v>
      </c>
      <c r="C13" s="47"/>
      <c r="D13" s="47"/>
      <c r="E13" s="47"/>
      <c r="F13" s="47"/>
      <c r="G13" s="47"/>
      <c r="H13" s="47"/>
      <c r="I13" s="47"/>
      <c r="J13" s="47"/>
      <c r="K13" s="47">
        <f>SUM(K5:K12)</f>
        <v>0</v>
      </c>
      <c r="L13" s="47"/>
      <c r="M13" s="31">
        <f>SUM(M5:M12)</f>
        <v>0</v>
      </c>
    </row>
    <row r="15" spans="1:13">
      <c r="A15" s="10" t="s">
        <v>214</v>
      </c>
    </row>
  </sheetData>
  <conditionalFormatting sqref="B13">
    <cfRule type="cellIs" dxfId="0" priority="1" operator="notEqual">
      <formula>100</formula>
    </cfRule>
  </conditionalFormatting>
  <pageMargins left="0.4" right="0.4" top="0.6" bottom="0.6" header="0.3" footer="0.3"/>
  <pageSetup paperSize="1" fitToHeight="0" orientation="landscape"/>
  <headerFooter>
    <oddHeader>&amp;L&amp;8&amp;K6B6B66Wean-to-Finish Group Projection&amp;R&amp;8&amp;K6B6B66&amp;A</oddHeader>
    <oddFooter>&amp;L&amp;8&amp;K6B6B66Printed &amp;D&amp;R&amp;8&amp;K6B6B66Page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E3B341"/>
    <pageSetUpPr fitToPage="1"/>
  </sheetPr>
  <dimension ref="A1:F28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2" width="14.7109375" customWidth="1"/>
    <col min="3" max="3" width="3.7109375" customWidth="1"/>
    <col min="4" max="4" width="12.7109375" customWidth="1"/>
    <col min="5" max="6" width="14.7109375" customWidth="1"/>
    <col min="7" max="28" width="10.7109375" customWidth="1"/>
  </cols>
  <sheetData>
    <row r="1" spans="1:6" ht="30" customHeight="1">
      <c r="A1" s="1" t="s">
        <v>166</v>
      </c>
    </row>
    <row r="2" spans="1:6">
      <c r="A2" s="2" t="s">
        <v>167</v>
      </c>
    </row>
    <row r="4" spans="1:6" ht="30" customHeight="1">
      <c r="A4" s="16" t="s">
        <v>168</v>
      </c>
      <c r="B4" s="17" t="s">
        <v>169</v>
      </c>
      <c r="D4" s="17" t="s">
        <v>173</v>
      </c>
      <c r="E4" s="17" t="s">
        <v>174</v>
      </c>
      <c r="F4" s="17" t="s">
        <v>175</v>
      </c>
    </row>
    <row r="5" spans="1:6">
      <c r="A5" s="42" t="s">
        <v>170</v>
      </c>
      <c r="B5" s="41">
        <v>66.925</v>
      </c>
      <c r="D5" s="50">
        <v>1</v>
      </c>
      <c r="E5" s="7" t="s">
        <v>176</v>
      </c>
      <c r="F5" s="41">
        <v>0</v>
      </c>
    </row>
    <row r="6" spans="1:6">
      <c r="A6" s="42" t="s">
        <v>171</v>
      </c>
      <c r="B6" s="41">
        <v>69.22499999999999</v>
      </c>
      <c r="D6" s="50">
        <v>2</v>
      </c>
      <c r="E6" s="7" t="s">
        <v>177</v>
      </c>
      <c r="F6" s="41">
        <v>0</v>
      </c>
    </row>
    <row r="7" spans="1:6">
      <c r="A7" s="42" t="s">
        <v>172</v>
      </c>
      <c r="B7" s="41">
        <v>74.675</v>
      </c>
      <c r="D7" s="50">
        <v>3</v>
      </c>
      <c r="E7" s="7" t="s">
        <v>178</v>
      </c>
      <c r="F7" s="41">
        <v>0</v>
      </c>
    </row>
    <row r="8" spans="1:6">
      <c r="A8" s="42"/>
      <c r="B8" s="41"/>
      <c r="D8" s="50">
        <v>4</v>
      </c>
      <c r="E8" s="7" t="s">
        <v>179</v>
      </c>
      <c r="F8" s="41">
        <v>0</v>
      </c>
    </row>
    <row r="9" spans="1:6">
      <c r="A9" s="42"/>
      <c r="B9" s="41"/>
      <c r="D9" s="50">
        <v>5</v>
      </c>
      <c r="E9" s="7" t="s">
        <v>180</v>
      </c>
      <c r="F9" s="41">
        <v>0</v>
      </c>
    </row>
    <row r="10" spans="1:6">
      <c r="A10" s="42"/>
      <c r="B10" s="41"/>
      <c r="D10" s="50">
        <v>6</v>
      </c>
      <c r="E10" s="7" t="s">
        <v>181</v>
      </c>
      <c r="F10" s="41">
        <v>0</v>
      </c>
    </row>
    <row r="11" spans="1:6">
      <c r="A11" s="42"/>
      <c r="B11" s="41"/>
      <c r="D11" s="50">
        <v>7</v>
      </c>
      <c r="E11" s="7" t="s">
        <v>182</v>
      </c>
      <c r="F11" s="41">
        <v>0</v>
      </c>
    </row>
    <row r="12" spans="1:6">
      <c r="A12" s="42"/>
      <c r="B12" s="41"/>
      <c r="D12" s="50">
        <v>8</v>
      </c>
      <c r="E12" s="7" t="s">
        <v>183</v>
      </c>
      <c r="F12" s="41">
        <v>0</v>
      </c>
    </row>
    <row r="13" spans="1:6">
      <c r="A13" s="42"/>
      <c r="B13" s="41"/>
      <c r="D13" s="50">
        <v>9</v>
      </c>
      <c r="E13" s="7" t="s">
        <v>184</v>
      </c>
      <c r="F13" s="41">
        <v>0</v>
      </c>
    </row>
    <row r="14" spans="1:6">
      <c r="A14" s="42"/>
      <c r="B14" s="41"/>
      <c r="D14" s="50">
        <v>10</v>
      </c>
      <c r="E14" s="7" t="s">
        <v>185</v>
      </c>
      <c r="F14" s="41">
        <v>0</v>
      </c>
    </row>
    <row r="15" spans="1:6">
      <c r="A15" s="42"/>
      <c r="B15" s="41"/>
      <c r="D15" s="50">
        <v>11</v>
      </c>
      <c r="E15" s="7" t="s">
        <v>186</v>
      </c>
      <c r="F15" s="41">
        <v>0</v>
      </c>
    </row>
    <row r="16" spans="1:6">
      <c r="A16" s="42"/>
      <c r="B16" s="41"/>
      <c r="D16" s="50">
        <v>12</v>
      </c>
      <c r="E16" s="7" t="s">
        <v>187</v>
      </c>
      <c r="F16" s="41">
        <v>0</v>
      </c>
    </row>
    <row r="17" spans="1:6">
      <c r="A17" s="42"/>
      <c r="B17" s="41"/>
      <c r="D17" s="50">
        <v>13</v>
      </c>
      <c r="E17" s="7" t="s">
        <v>188</v>
      </c>
      <c r="F17" s="41">
        <v>0</v>
      </c>
    </row>
    <row r="18" spans="1:6">
      <c r="A18" s="42"/>
      <c r="B18" s="41"/>
      <c r="D18" s="50">
        <v>14</v>
      </c>
      <c r="E18" s="7" t="s">
        <v>189</v>
      </c>
      <c r="F18" s="41">
        <v>0</v>
      </c>
    </row>
    <row r="19" spans="1:6">
      <c r="A19" s="42"/>
      <c r="B19" s="41"/>
      <c r="D19" s="50">
        <v>15</v>
      </c>
      <c r="E19" s="7" t="s">
        <v>190</v>
      </c>
      <c r="F19" s="41">
        <v>0</v>
      </c>
    </row>
    <row r="20" spans="1:6">
      <c r="A20" s="42"/>
      <c r="B20" s="41"/>
      <c r="D20" s="50">
        <v>16</v>
      </c>
      <c r="E20" s="7" t="s">
        <v>191</v>
      </c>
      <c r="F20" s="41">
        <v>0</v>
      </c>
    </row>
    <row r="21" spans="1:6">
      <c r="A21" s="42"/>
      <c r="B21" s="41"/>
      <c r="D21" s="50">
        <v>17</v>
      </c>
      <c r="E21" s="7" t="s">
        <v>192</v>
      </c>
      <c r="F21" s="41">
        <v>0</v>
      </c>
    </row>
    <row r="22" spans="1:6">
      <c r="A22" s="42"/>
      <c r="B22" s="41"/>
      <c r="D22" s="50">
        <v>18</v>
      </c>
      <c r="E22" s="7" t="s">
        <v>193</v>
      </c>
      <c r="F22" s="41">
        <v>0</v>
      </c>
    </row>
    <row r="23" spans="1:6">
      <c r="A23" s="42"/>
      <c r="B23" s="41"/>
      <c r="D23" s="50">
        <v>19</v>
      </c>
      <c r="E23" s="7" t="s">
        <v>194</v>
      </c>
      <c r="F23" s="41">
        <v>0</v>
      </c>
    </row>
    <row r="24" spans="1:6">
      <c r="A24" s="42"/>
      <c r="B24" s="41"/>
      <c r="D24" s="50">
        <v>20</v>
      </c>
      <c r="E24" s="7" t="s">
        <v>195</v>
      </c>
      <c r="F24" s="41">
        <v>0</v>
      </c>
    </row>
    <row r="25" spans="1:6">
      <c r="A25" s="42"/>
      <c r="B25" s="41"/>
      <c r="D25" s="50">
        <v>21</v>
      </c>
      <c r="E25" s="7" t="s">
        <v>196</v>
      </c>
      <c r="F25" s="41">
        <v>0</v>
      </c>
    </row>
    <row r="26" spans="1:6">
      <c r="A26" s="42"/>
      <c r="B26" s="41"/>
      <c r="D26" s="50">
        <v>22</v>
      </c>
      <c r="E26" s="7" t="s">
        <v>197</v>
      </c>
      <c r="F26" s="41">
        <v>0</v>
      </c>
    </row>
    <row r="27" spans="1:6">
      <c r="A27" s="42"/>
      <c r="B27" s="41"/>
      <c r="D27" s="50">
        <v>23</v>
      </c>
      <c r="E27" s="7" t="s">
        <v>198</v>
      </c>
      <c r="F27" s="41">
        <v>0</v>
      </c>
    </row>
    <row r="28" spans="1:6">
      <c r="A28" s="42"/>
      <c r="B28" s="41"/>
      <c r="D28" s="50">
        <v>24</v>
      </c>
      <c r="E28" s="7" t="s">
        <v>199</v>
      </c>
      <c r="F28" s="41">
        <v>0</v>
      </c>
    </row>
  </sheetData>
  <pageMargins left="0.4" right="0.4" top="0.6" bottom="0.6" header="0.3" footer="0.3"/>
  <pageSetup paperSize="1" fitToHeight="0" orientation="landscape"/>
  <headerFooter>
    <oddHeader>&amp;L&amp;8&amp;K6B6B66Wean-to-Finish Group Projection&amp;R&amp;8&amp;K6B6B66&amp;A</oddHeader>
    <oddFooter>&amp;L&amp;8&amp;K6B6B66Printed &amp;D&amp;R&amp;8&amp;K6B6B66Page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A8983"/>
    <pageSetUpPr fitToPage="1"/>
  </sheetPr>
  <dimension ref="A1:F1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 x14ac:dyDescent="0.25"/>
  <cols>
    <col min="1" max="1" width="26.7109375" customWidth="1"/>
    <col min="2" max="6" width="15.7109375" customWidth="1"/>
  </cols>
  <sheetData>
    <row r="1" spans="1:6" ht="30" customHeight="1" x14ac:dyDescent="0.25">
      <c r="A1" s="1" t="s">
        <v>215</v>
      </c>
    </row>
    <row r="2" spans="1:6" x14ac:dyDescent="0.25">
      <c r="A2" s="2" t="s">
        <v>216</v>
      </c>
    </row>
    <row r="4" spans="1:6" ht="30" customHeight="1" x14ac:dyDescent="0.25">
      <c r="A4" s="16" t="s">
        <v>217</v>
      </c>
      <c r="B4" s="17" t="s">
        <v>218</v>
      </c>
      <c r="C4" s="17" t="s">
        <v>66</v>
      </c>
      <c r="D4" s="17" t="s">
        <v>69</v>
      </c>
      <c r="E4" s="17" t="s">
        <v>82</v>
      </c>
      <c r="F4" s="17" t="s">
        <v>219</v>
      </c>
    </row>
    <row r="5" spans="1:6" x14ac:dyDescent="0.25">
      <c r="A5" s="7" t="s">
        <v>220</v>
      </c>
      <c r="B5" s="18">
        <f>HeadPlaced*(WeanPrice+WeanFreight)</f>
        <v>0</v>
      </c>
      <c r="C5" s="19">
        <f>B5/HeadPlaced</f>
        <v>0</v>
      </c>
      <c r="D5" s="19">
        <f>B5/HeadSold</f>
        <v>0</v>
      </c>
      <c r="E5" s="19">
        <f>B5/CarcassCwt</f>
        <v>0</v>
      </c>
      <c r="F5" s="20">
        <f>IF($B$18=0,0,B5/$B$18)</f>
        <v>0</v>
      </c>
    </row>
    <row r="6" spans="1:6" x14ac:dyDescent="0.25">
      <c r="A6" s="7" t="s">
        <v>221</v>
      </c>
      <c r="B6" s="18">
        <f>FeedCost</f>
        <v>0</v>
      </c>
      <c r="C6" s="19">
        <f>B6/HeadPlaced</f>
        <v>0</v>
      </c>
      <c r="D6" s="19">
        <f>B6/HeadSold</f>
        <v>0</v>
      </c>
      <c r="E6" s="19">
        <f>B6/CarcassCwt</f>
        <v>0</v>
      </c>
      <c r="F6" s="20">
        <f>IF($B$18=0,0,B6/$B$18)</f>
        <v>0</v>
      </c>
    </row>
    <row r="7" spans="1:6" x14ac:dyDescent="0.25">
      <c r="A7" s="7" t="s">
        <v>222</v>
      </c>
      <c r="B7" s="18">
        <f>IF(BarnMode="$/space/year",HeadPlaced*BarnRent*BarnDays/365,HeadPlaced*BarnPerPig)</f>
        <v>0</v>
      </c>
      <c r="C7" s="19">
        <f>B7/HeadPlaced</f>
        <v>0</v>
      </c>
      <c r="D7" s="19">
        <f>B7/HeadSold</f>
        <v>0</v>
      </c>
      <c r="E7" s="19">
        <f>B7/CarcassCwt</f>
        <v>0</v>
      </c>
      <c r="F7" s="20">
        <f>IF($B$18=0,0,B7/$B$18)</f>
        <v>0</v>
      </c>
    </row>
    <row r="8" spans="1:6" x14ac:dyDescent="0.25">
      <c r="A8" s="7" t="s">
        <v>223</v>
      </c>
      <c r="B8" s="18">
        <f>IF(LaborMode="hours x wage",HeadPlaced*LaborHours*LaborWage,HeadPlaced*LaborPerPig)</f>
        <v>0</v>
      </c>
      <c r="C8" s="19">
        <f>B8/HeadPlaced</f>
        <v>0</v>
      </c>
      <c r="D8" s="19">
        <f>B8/HeadSold</f>
        <v>0</v>
      </c>
      <c r="E8" s="19">
        <f>B8/CarcassCwt</f>
        <v>0</v>
      </c>
      <c r="F8" s="20">
        <f>IF($B$18=0,0,B8/$B$18)</f>
        <v>0</v>
      </c>
    </row>
    <row r="9" spans="1:6" x14ac:dyDescent="0.25">
      <c r="A9" s="7" t="s">
        <v>224</v>
      </c>
      <c r="B9" s="18">
        <f>HeadPlaced*VetMed</f>
        <v>0</v>
      </c>
      <c r="C9" s="19">
        <f>B9/HeadPlaced</f>
        <v>0</v>
      </c>
      <c r="D9" s="19">
        <f>B9/HeadSold</f>
        <v>0</v>
      </c>
      <c r="E9" s="19">
        <f>B9/CarcassCwt</f>
        <v>0</v>
      </c>
      <c r="F9" s="20">
        <f>IF($B$18=0,0,B9/$B$18)</f>
        <v>0</v>
      </c>
    </row>
    <row r="10" spans="1:6" x14ac:dyDescent="0.25">
      <c r="A10" s="7" t="s">
        <v>225</v>
      </c>
      <c r="B10" s="18">
        <f>HeadPlaced*Utilities</f>
        <v>0</v>
      </c>
      <c r="C10" s="19">
        <f>B10/HeadPlaced</f>
        <v>0</v>
      </c>
      <c r="D10" s="19">
        <f>B10/HeadSold</f>
        <v>0</v>
      </c>
      <c r="E10" s="19">
        <f>B10/CarcassCwt</f>
        <v>0</v>
      </c>
      <c r="F10" s="20">
        <f>IF($B$18=0,0,B10/$B$18)</f>
        <v>0</v>
      </c>
    </row>
    <row r="11" spans="1:6" x14ac:dyDescent="0.25">
      <c r="A11" s="7" t="s">
        <v>68</v>
      </c>
      <c r="B11" s="18">
        <f>HeadSold*Trucking</f>
        <v>0</v>
      </c>
      <c r="C11" s="19">
        <f>B11/HeadPlaced</f>
        <v>0</v>
      </c>
      <c r="D11" s="19">
        <f>B11/HeadSold</f>
        <v>0</v>
      </c>
      <c r="E11" s="19">
        <f>B11/CarcassCwt</f>
        <v>0</v>
      </c>
      <c r="F11" s="20">
        <f>IF($B$18=0,0,B11/$B$18)</f>
        <v>0</v>
      </c>
    </row>
    <row r="12" spans="1:6" x14ac:dyDescent="0.25">
      <c r="A12" s="7" t="s">
        <v>70</v>
      </c>
      <c r="B12" s="18">
        <f>HeadPlaced*InsMisc</f>
        <v>0</v>
      </c>
      <c r="C12" s="19">
        <f>B12/HeadPlaced</f>
        <v>0</v>
      </c>
      <c r="D12" s="19">
        <f>B12/HeadSold</f>
        <v>0</v>
      </c>
      <c r="E12" s="19">
        <f>B12/CarcassCwt</f>
        <v>0</v>
      </c>
      <c r="F12" s="20">
        <f>IF($B$18=0,0,B12/$B$18)</f>
        <v>0</v>
      </c>
    </row>
    <row r="13" spans="1:6" x14ac:dyDescent="0.25">
      <c r="A13" s="7" t="s">
        <v>71</v>
      </c>
      <c r="B13" s="18">
        <f>HeadPlaced*GA</f>
        <v>0</v>
      </c>
      <c r="C13" s="19">
        <f>B13/HeadPlaced</f>
        <v>0</v>
      </c>
      <c r="D13" s="19">
        <f>B13/HeadSold</f>
        <v>0</v>
      </c>
      <c r="E13" s="19">
        <f>B13/CarcassCwt</f>
        <v>0</v>
      </c>
      <c r="F13" s="20">
        <f>IF($B$18=0,0,B13/$B$18)</f>
        <v>0</v>
      </c>
    </row>
    <row r="14" spans="1:6" x14ac:dyDescent="0.25">
      <c r="A14" s="7" t="s">
        <v>226</v>
      </c>
      <c r="B14" s="18">
        <f>IF(MortMode="$ per pig",HeadPlaced*MortCost,0)</f>
        <v>0</v>
      </c>
      <c r="C14" s="19">
        <f>B14/HeadPlaced</f>
        <v>0</v>
      </c>
      <c r="D14" s="19">
        <f>B14/HeadSold</f>
        <v>0</v>
      </c>
      <c r="E14" s="19">
        <f>B14/CarcassCwt</f>
        <v>0</v>
      </c>
      <c r="F14" s="20">
        <f>IF($B$18=0,0,B14/$B$18)</f>
        <v>0</v>
      </c>
    </row>
    <row r="15" spans="1:6" x14ac:dyDescent="0.25">
      <c r="A15" s="7" t="s">
        <v>227</v>
      </c>
      <c r="B15" s="18">
        <f>HeadSold*OtherSold</f>
        <v>0</v>
      </c>
      <c r="C15" s="19">
        <f>B15/HeadPlaced</f>
        <v>0</v>
      </c>
      <c r="D15" s="19">
        <f>B15/HeadSold</f>
        <v>0</v>
      </c>
      <c r="E15" s="19">
        <f>B15/CarcassCwt</f>
        <v>0</v>
      </c>
      <c r="F15" s="20">
        <f>IF($B$18=0,0,B15/$B$18)</f>
        <v>0</v>
      </c>
    </row>
    <row r="16" spans="1:6" x14ac:dyDescent="0.25">
      <c r="A16" s="7" t="s">
        <v>228</v>
      </c>
      <c r="B16" s="18">
        <f>IF(InterestMode="annual rate",InterestPct/100*AvgDays/365*(CostPigs+0.5*CostFeed),HeadPlaced*InterestPerPig)</f>
        <v>0</v>
      </c>
      <c r="C16" s="19">
        <f>B16/HeadPlaced</f>
        <v>0</v>
      </c>
      <c r="D16" s="19">
        <f>B16/HeadSold</f>
        <v>0</v>
      </c>
      <c r="E16" s="19">
        <f>B16/CarcassCwt</f>
        <v>0</v>
      </c>
      <c r="F16" s="20">
        <f>IF($B$18=0,0,B16/$B$18)</f>
        <v>0</v>
      </c>
    </row>
    <row r="17" spans="1:6" x14ac:dyDescent="0.25">
      <c r="A17" s="7" t="s">
        <v>229</v>
      </c>
      <c r="B17" s="18">
        <f>GrossRevenue*CheckoffPct/100</f>
        <v>0</v>
      </c>
      <c r="C17" s="19">
        <f>B17/HeadPlaced</f>
        <v>0</v>
      </c>
      <c r="D17" s="19">
        <f>B17/HeadSold</f>
        <v>0</v>
      </c>
      <c r="E17" s="19">
        <f>B17/CarcassCwt</f>
        <v>0</v>
      </c>
      <c r="F17" s="20">
        <f>IF($B$18=0,0,B17/$B$18)</f>
        <v>0</v>
      </c>
    </row>
    <row r="18" spans="1:6" x14ac:dyDescent="0.25">
      <c r="A18" s="30" t="s">
        <v>230</v>
      </c>
      <c r="B18" s="31">
        <f>SUM(B5:B17)</f>
        <v>0</v>
      </c>
      <c r="C18" s="32">
        <f>B18/HeadPlaced</f>
        <v>0</v>
      </c>
      <c r="D18" s="32">
        <f>B18/HeadSold</f>
        <v>0</v>
      </c>
      <c r="E18" s="32">
        <f>B18/CarcassCwt</f>
        <v>0</v>
      </c>
      <c r="F18" s="33">
        <f>SUM(F5:F17)</f>
        <v>0</v>
      </c>
    </row>
  </sheetData>
  <conditionalFormatting sqref="F5:F17">
    <cfRule type="dataBar" priority="1">
      <dataBar>
        <cfvo type="min"/>
        <cfvo type="max"/>
        <color rgb="FF9EC5F4"/>
      </dataBar>
      <extLst>
        <ext xmlns:x14="http://schemas.microsoft.com/office/spreadsheetml/2009/9/main" uri="{B025F937-C7B1-47D3-B67F-A62EFF666E3E}">
          <x14:id>{DA7ABA51-AAAA-BBBB-0008-000000000001}</x14:id>
        </ext>
      </extLst>
    </cfRule>
  </conditionalFormatting>
  <pageMargins left="0.4" right="0.4" top="0.6" bottom="0.6" header="0.3" footer="0.3"/>
  <pageSetup paperSize="1" fitToHeight="0" orientation="landscape"/>
  <headerFooter>
    <oddHeader>&amp;L&amp;8&amp;K6B6B66Wean-to-Finish Group Projection&amp;R&amp;8&amp;K6B6B66&amp;A</oddHeader>
    <oddFooter>&amp;L&amp;8&amp;K6B6B66Printed &amp;D&amp;R&amp;8&amp;K6B6B66Page &amp;P of &amp;N</oddFooter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8-00000000000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F5:F17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1C8C7A"/>
    <pageSetUpPr fitToPage="1"/>
  </sheetPr>
  <dimension ref="A1:M40"/>
  <sheetViews>
    <sheetView showGridLines="0" workbookViewId="0">
      <pane xSplit="1" ySplit="12" topLeftCell="B13" activePane="bottomRight" state="frozen"/>
      <selection pane="topRight" activeCell="B1" sqref="B1"/>
      <selection pane="bottomLeft" activeCell="A13" sqref="A13"/>
      <selection pane="bottomRight"/>
    </sheetView>
  </sheetViews>
  <sheetFormatPr defaultRowHeight="15"/>
  <cols>
    <col min="1" max="1" width="34.7109375" customWidth="1"/>
    <col min="2" max="13" width="12.28515625" customWidth="1"/>
    <col min="14" max="14" width="2.7109375" customWidth="1"/>
  </cols>
  <sheetData>
    <row r="1" spans="1:13" ht="30" customHeight="1">
      <c r="A1" s="1" t="s">
        <v>257</v>
      </c>
    </row>
    <row r="2" spans="1:13">
      <c r="A2" s="2" t="s">
        <v>258</v>
      </c>
    </row>
    <row r="4" spans="1:13">
      <c r="A4" s="3" t="s">
        <v>259</v>
      </c>
      <c r="B4" s="3"/>
      <c r="D4" s="3" t="s">
        <v>289</v>
      </c>
      <c r="E4" s="3"/>
      <c r="F4" s="3"/>
    </row>
    <row r="5" spans="1:13">
      <c r="A5" s="7" t="s">
        <v>260</v>
      </c>
      <c r="B5" s="38">
        <v>1</v>
      </c>
      <c r="D5" s="7" t="s">
        <v>290</v>
      </c>
      <c r="E5" s="7"/>
      <c r="F5" s="19">
        <f>AVERAGE($B$39:$M$39)</f>
        <v>0</v>
      </c>
    </row>
    <row r="6" spans="1:13">
      <c r="A6" s="7" t="s">
        <v>261</v>
      </c>
      <c r="B6" s="38">
        <v>160</v>
      </c>
      <c r="D6" s="7" t="s">
        <v>291</v>
      </c>
      <c r="E6" s="7"/>
      <c r="F6" s="49">
        <f>TEXT(MAX($B$39:$M$39),"$#,##0.00")&amp;"  ("&amp;TEXT(INDEX($B$12:$M$12,MATCH(MAX($B$39:$M$39),$B$39:$M$39,0)),"mmm d")&amp;")"</f>
        <v>0</v>
      </c>
    </row>
    <row r="7" spans="1:13">
      <c r="A7" s="7" t="s">
        <v>262</v>
      </c>
      <c r="B7" s="41">
        <v>290</v>
      </c>
      <c r="D7" s="7" t="s">
        <v>292</v>
      </c>
      <c r="E7" s="7"/>
      <c r="F7" s="49">
        <f>TEXT(MIN($B$39:$M$39),"$#,##0.00;($#,##0.00)")&amp;"  ("&amp;TEXT(INDEX($B$12:$M$12,MATCH(MIN($B$39:$M$39),$B$39:$M$39,0)),"mmm d")&amp;")"</f>
        <v>0</v>
      </c>
    </row>
    <row r="8" spans="1:13">
      <c r="A8" s="7" t="s">
        <v>263</v>
      </c>
      <c r="B8" s="42" t="s">
        <v>264</v>
      </c>
      <c r="D8" s="7" t="s">
        <v>293</v>
      </c>
      <c r="E8" s="7"/>
      <c r="F8" s="49">
        <f>COUNTIF($B$39:$M$39,"&gt;0")&amp;" of "&amp;COUNT($B$39:$M$39)</f>
        <v>0</v>
      </c>
    </row>
    <row r="11" spans="1:13">
      <c r="A11" s="3" t="s">
        <v>265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</row>
    <row r="12" spans="1:13">
      <c r="A12" s="7" t="s">
        <v>266</v>
      </c>
      <c r="B12" s="40">
        <v>46313</v>
      </c>
      <c r="C12" s="40">
        <v>46306</v>
      </c>
      <c r="D12" s="40">
        <v>46299</v>
      </c>
      <c r="E12" s="40">
        <v>46292</v>
      </c>
      <c r="F12" s="40">
        <v>46285</v>
      </c>
      <c r="G12" s="40">
        <v>46278</v>
      </c>
      <c r="H12" s="40">
        <v>46271</v>
      </c>
      <c r="I12" s="40">
        <v>46264</v>
      </c>
      <c r="J12" s="40">
        <v>46257</v>
      </c>
      <c r="K12" s="40">
        <v>46250</v>
      </c>
      <c r="L12" s="40">
        <v>46243</v>
      </c>
      <c r="M12" s="40">
        <v>46236</v>
      </c>
    </row>
    <row r="13" spans="1:13">
      <c r="A13" s="7" t="s">
        <v>267</v>
      </c>
      <c r="B13" s="41">
        <v>24.81</v>
      </c>
      <c r="C13" s="41">
        <v>24.81</v>
      </c>
      <c r="D13" s="41">
        <v>24.81</v>
      </c>
      <c r="E13" s="41">
        <v>24.81</v>
      </c>
      <c r="F13" s="41">
        <v>24.81</v>
      </c>
      <c r="G13" s="41">
        <v>24.81</v>
      </c>
      <c r="H13" s="41">
        <v>24.81</v>
      </c>
      <c r="I13" s="41">
        <v>24.81</v>
      </c>
      <c r="J13" s="41">
        <v>24.81</v>
      </c>
      <c r="K13" s="41">
        <v>24.81</v>
      </c>
      <c r="L13" s="41">
        <v>24.81</v>
      </c>
      <c r="M13" s="41">
        <v>24.81</v>
      </c>
    </row>
    <row r="14" spans="1:13">
      <c r="A14" s="7" t="s">
        <v>268</v>
      </c>
      <c r="B14" s="41">
        <v>4.7425</v>
      </c>
      <c r="C14" s="41">
        <v>4.7425</v>
      </c>
      <c r="D14" s="41">
        <v>4.7425</v>
      </c>
      <c r="E14" s="41">
        <v>4.7425</v>
      </c>
      <c r="F14" s="41">
        <v>4.7425</v>
      </c>
      <c r="G14" s="41">
        <v>4.7425</v>
      </c>
      <c r="H14" s="41">
        <v>4.7425</v>
      </c>
      <c r="I14" s="41">
        <v>4.7425</v>
      </c>
      <c r="J14" s="41">
        <v>4.7425</v>
      </c>
      <c r="K14" s="41">
        <v>4.7425</v>
      </c>
      <c r="L14" s="41">
        <v>4.7425</v>
      </c>
      <c r="M14" s="41">
        <v>4.7425</v>
      </c>
    </row>
    <row r="15" spans="1:13">
      <c r="A15" s="7" t="s">
        <v>269</v>
      </c>
      <c r="B15" s="41">
        <v>357.1</v>
      </c>
      <c r="C15" s="41">
        <v>357.1</v>
      </c>
      <c r="D15" s="41">
        <v>357.1</v>
      </c>
      <c r="E15" s="41">
        <v>357.1</v>
      </c>
      <c r="F15" s="41">
        <v>357.1</v>
      </c>
      <c r="G15" s="41">
        <v>357.1</v>
      </c>
      <c r="H15" s="41">
        <v>357.1</v>
      </c>
      <c r="I15" s="41">
        <v>357.1</v>
      </c>
      <c r="J15" s="41">
        <v>357.1</v>
      </c>
      <c r="K15" s="41">
        <v>357.1</v>
      </c>
      <c r="L15" s="41">
        <v>357.1</v>
      </c>
      <c r="M15" s="41">
        <v>357.1</v>
      </c>
    </row>
    <row r="16" spans="1:13">
      <c r="A16" s="7" t="s">
        <v>110</v>
      </c>
      <c r="B16" s="41">
        <v>180</v>
      </c>
      <c r="C16" s="41">
        <v>180</v>
      </c>
      <c r="D16" s="41">
        <v>180</v>
      </c>
      <c r="E16" s="41">
        <v>180</v>
      </c>
      <c r="F16" s="41">
        <v>180</v>
      </c>
      <c r="G16" s="41">
        <v>180</v>
      </c>
      <c r="H16" s="41">
        <v>180</v>
      </c>
      <c r="I16" s="41">
        <v>180</v>
      </c>
      <c r="J16" s="41">
        <v>180</v>
      </c>
      <c r="K16" s="41">
        <v>180</v>
      </c>
      <c r="L16" s="41">
        <v>180</v>
      </c>
      <c r="M16" s="41">
        <v>180</v>
      </c>
    </row>
    <row r="17" spans="1:13">
      <c r="A17" s="7" t="s">
        <v>270</v>
      </c>
      <c r="B17" s="41">
        <v>74.675</v>
      </c>
      <c r="C17" s="41">
        <v>74.675</v>
      </c>
      <c r="D17" s="41">
        <v>74.675</v>
      </c>
      <c r="E17" s="41">
        <v>74.675</v>
      </c>
      <c r="F17" s="41">
        <v>74.675</v>
      </c>
      <c r="G17" s="41">
        <v>74.675</v>
      </c>
      <c r="H17" s="41">
        <v>69.22499999999999</v>
      </c>
      <c r="I17" s="41">
        <v>69.22499999999999</v>
      </c>
      <c r="J17" s="41">
        <v>69.22499999999999</v>
      </c>
      <c r="K17" s="41">
        <v>69.22499999999999</v>
      </c>
      <c r="L17" s="41">
        <v>69.22499999999999</v>
      </c>
      <c r="M17" s="41">
        <v>69.22499999999999</v>
      </c>
    </row>
    <row r="18" spans="1:13">
      <c r="A18" s="7" t="s">
        <v>271</v>
      </c>
      <c r="B18" s="41">
        <v>0</v>
      </c>
      <c r="C18" s="41">
        <v>0</v>
      </c>
      <c r="D18" s="41">
        <v>0</v>
      </c>
      <c r="E18" s="41">
        <v>0</v>
      </c>
      <c r="F18" s="41">
        <v>0</v>
      </c>
      <c r="G18" s="41">
        <v>0</v>
      </c>
      <c r="H18" s="41">
        <v>0</v>
      </c>
      <c r="I18" s="41">
        <v>0</v>
      </c>
      <c r="J18" s="41">
        <v>0</v>
      </c>
      <c r="K18" s="41">
        <v>0</v>
      </c>
      <c r="L18" s="41">
        <v>0</v>
      </c>
      <c r="M18" s="41">
        <v>0</v>
      </c>
    </row>
    <row r="20" spans="1:13">
      <c r="A20" s="3" t="s">
        <v>272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</row>
    <row r="21" spans="1:13">
      <c r="A21" s="7" t="s">
        <v>7</v>
      </c>
      <c r="B21" s="48">
        <f>B12+CrLag</f>
        <v>0</v>
      </c>
      <c r="C21" s="48">
        <f>C12+CrLag</f>
        <v>0</v>
      </c>
      <c r="D21" s="48">
        <f>D12+CrLag</f>
        <v>0</v>
      </c>
      <c r="E21" s="48">
        <f>E12+CrLag</f>
        <v>0</v>
      </c>
      <c r="F21" s="48">
        <f>F12+CrLag</f>
        <v>0</v>
      </c>
      <c r="G21" s="48">
        <f>G12+CrLag</f>
        <v>0</v>
      </c>
      <c r="H21" s="48">
        <f>H12+CrLag</f>
        <v>0</v>
      </c>
      <c r="I21" s="48">
        <f>I12+CrLag</f>
        <v>0</v>
      </c>
      <c r="J21" s="48">
        <f>J12+CrLag</f>
        <v>0</v>
      </c>
      <c r="K21" s="48">
        <f>K12+CrLag</f>
        <v>0</v>
      </c>
      <c r="L21" s="48">
        <f>L12+CrLag</f>
        <v>0</v>
      </c>
      <c r="M21" s="48">
        <f>M12+CrLag</f>
        <v>0</v>
      </c>
    </row>
    <row r="22" spans="1:13">
      <c r="A22" s="7" t="s">
        <v>273</v>
      </c>
      <c r="B22" s="48">
        <f>B21+CrDays</f>
        <v>0</v>
      </c>
      <c r="C22" s="48">
        <f>C21+CrDays</f>
        <v>0</v>
      </c>
      <c r="D22" s="48">
        <f>D21+CrDays</f>
        <v>0</v>
      </c>
      <c r="E22" s="48">
        <f>E21+CrDays</f>
        <v>0</v>
      </c>
      <c r="F22" s="48">
        <f>F21+CrDays</f>
        <v>0</v>
      </c>
      <c r="G22" s="48">
        <f>G21+CrDays</f>
        <v>0</v>
      </c>
      <c r="H22" s="48">
        <f>H21+CrDays</f>
        <v>0</v>
      </c>
      <c r="I22" s="48">
        <f>I21+CrDays</f>
        <v>0</v>
      </c>
      <c r="J22" s="48">
        <f>J21+CrDays</f>
        <v>0</v>
      </c>
      <c r="K22" s="48">
        <f>K21+CrDays</f>
        <v>0</v>
      </c>
      <c r="L22" s="48">
        <f>L21+CrDays</f>
        <v>0</v>
      </c>
      <c r="M22" s="48">
        <f>M21+CrDays</f>
        <v>0</v>
      </c>
    </row>
    <row r="23" spans="1:13">
      <c r="A23" s="7" t="s">
        <v>274</v>
      </c>
      <c r="B23" s="49">
        <f>(YEAR(B22)+(IF(AND(ISNUMBER(MATCH(MONTH(B22),{2,4,5,6,7,8,10,12},0)),DAY(B22)&lt;=14),MONTH(B22),IF(MONTH(B22)&lt;2,2,IF(MONTH(B22)&lt;4,4,IF(MONTH(B22)&lt;8,MONTH(B22)+1,IF(MONTH(B22)&lt;10,10,IF(MONTH(B22)&lt;12,12,14))))))&gt;12))&amp;"-"&amp;TEXT(IF(AND(ISNUMBER(MATCH(MONTH(B22),{2,4,5,6,7,8,10,12},0)),DAY(B22)&lt;=14),MONTH(B22),IF(MONTH(B22)&lt;2,2,IF(MONTH(B22)&lt;4,4,IF(MONTH(B22)&lt;8,MONTH(B22)+1,IF(MONTH(B22)&lt;10,10,IF(MONTH(B22)&lt;12,12,14))))))-12*(IF(AND(ISNUMBER(MATCH(MONTH(B22),{2,4,5,6,7,8,10,12},0)),DAY(B22)&lt;=14),MONTH(B22),IF(MONTH(B22)&lt;2,2,IF(MONTH(B22)&lt;4,4,IF(MONTH(B22)&lt;8,MONTH(B22)+1,IF(MONTH(B22)&lt;10,10,IF(MONTH(B22)&lt;12,12,14))))))&gt;12),"00")</f>
        <v>0</v>
      </c>
      <c r="C23" s="49">
        <f>(YEAR(C22)+(IF(AND(ISNUMBER(MATCH(MONTH(C22),{2,4,5,6,7,8,10,12},0)),DAY(C22)&lt;=14),MONTH(C22),IF(MONTH(C22)&lt;2,2,IF(MONTH(C22)&lt;4,4,IF(MONTH(C22)&lt;8,MONTH(C22)+1,IF(MONTH(C22)&lt;10,10,IF(MONTH(C22)&lt;12,12,14))))))&gt;12))&amp;"-"&amp;TEXT(IF(AND(ISNUMBER(MATCH(MONTH(C22),{2,4,5,6,7,8,10,12},0)),DAY(C22)&lt;=14),MONTH(C22),IF(MONTH(C22)&lt;2,2,IF(MONTH(C22)&lt;4,4,IF(MONTH(C22)&lt;8,MONTH(C22)+1,IF(MONTH(C22)&lt;10,10,IF(MONTH(C22)&lt;12,12,14))))))-12*(IF(AND(ISNUMBER(MATCH(MONTH(C22),{2,4,5,6,7,8,10,12},0)),DAY(C22)&lt;=14),MONTH(C22),IF(MONTH(C22)&lt;2,2,IF(MONTH(C22)&lt;4,4,IF(MONTH(C22)&lt;8,MONTH(C22)+1,IF(MONTH(C22)&lt;10,10,IF(MONTH(C22)&lt;12,12,14))))))&gt;12),"00")</f>
        <v>0</v>
      </c>
      <c r="D23" s="49">
        <f>(YEAR(D22)+(IF(AND(ISNUMBER(MATCH(MONTH(D22),{2,4,5,6,7,8,10,12},0)),DAY(D22)&lt;=14),MONTH(D22),IF(MONTH(D22)&lt;2,2,IF(MONTH(D22)&lt;4,4,IF(MONTH(D22)&lt;8,MONTH(D22)+1,IF(MONTH(D22)&lt;10,10,IF(MONTH(D22)&lt;12,12,14))))))&gt;12))&amp;"-"&amp;TEXT(IF(AND(ISNUMBER(MATCH(MONTH(D22),{2,4,5,6,7,8,10,12},0)),DAY(D22)&lt;=14),MONTH(D22),IF(MONTH(D22)&lt;2,2,IF(MONTH(D22)&lt;4,4,IF(MONTH(D22)&lt;8,MONTH(D22)+1,IF(MONTH(D22)&lt;10,10,IF(MONTH(D22)&lt;12,12,14))))))-12*(IF(AND(ISNUMBER(MATCH(MONTH(D22),{2,4,5,6,7,8,10,12},0)),DAY(D22)&lt;=14),MONTH(D22),IF(MONTH(D22)&lt;2,2,IF(MONTH(D22)&lt;4,4,IF(MONTH(D22)&lt;8,MONTH(D22)+1,IF(MONTH(D22)&lt;10,10,IF(MONTH(D22)&lt;12,12,14))))))&gt;12),"00")</f>
        <v>0</v>
      </c>
      <c r="E23" s="49">
        <f>(YEAR(E22)+(IF(AND(ISNUMBER(MATCH(MONTH(E22),{2,4,5,6,7,8,10,12},0)),DAY(E22)&lt;=14),MONTH(E22),IF(MONTH(E22)&lt;2,2,IF(MONTH(E22)&lt;4,4,IF(MONTH(E22)&lt;8,MONTH(E22)+1,IF(MONTH(E22)&lt;10,10,IF(MONTH(E22)&lt;12,12,14))))))&gt;12))&amp;"-"&amp;TEXT(IF(AND(ISNUMBER(MATCH(MONTH(E22),{2,4,5,6,7,8,10,12},0)),DAY(E22)&lt;=14),MONTH(E22),IF(MONTH(E22)&lt;2,2,IF(MONTH(E22)&lt;4,4,IF(MONTH(E22)&lt;8,MONTH(E22)+1,IF(MONTH(E22)&lt;10,10,IF(MONTH(E22)&lt;12,12,14))))))-12*(IF(AND(ISNUMBER(MATCH(MONTH(E22),{2,4,5,6,7,8,10,12},0)),DAY(E22)&lt;=14),MONTH(E22),IF(MONTH(E22)&lt;2,2,IF(MONTH(E22)&lt;4,4,IF(MONTH(E22)&lt;8,MONTH(E22)+1,IF(MONTH(E22)&lt;10,10,IF(MONTH(E22)&lt;12,12,14))))))&gt;12),"00")</f>
        <v>0</v>
      </c>
      <c r="F23" s="49">
        <f>(YEAR(F22)+(IF(AND(ISNUMBER(MATCH(MONTH(F22),{2,4,5,6,7,8,10,12},0)),DAY(F22)&lt;=14),MONTH(F22),IF(MONTH(F22)&lt;2,2,IF(MONTH(F22)&lt;4,4,IF(MONTH(F22)&lt;8,MONTH(F22)+1,IF(MONTH(F22)&lt;10,10,IF(MONTH(F22)&lt;12,12,14))))))&gt;12))&amp;"-"&amp;TEXT(IF(AND(ISNUMBER(MATCH(MONTH(F22),{2,4,5,6,7,8,10,12},0)),DAY(F22)&lt;=14),MONTH(F22),IF(MONTH(F22)&lt;2,2,IF(MONTH(F22)&lt;4,4,IF(MONTH(F22)&lt;8,MONTH(F22)+1,IF(MONTH(F22)&lt;10,10,IF(MONTH(F22)&lt;12,12,14))))))-12*(IF(AND(ISNUMBER(MATCH(MONTH(F22),{2,4,5,6,7,8,10,12},0)),DAY(F22)&lt;=14),MONTH(F22),IF(MONTH(F22)&lt;2,2,IF(MONTH(F22)&lt;4,4,IF(MONTH(F22)&lt;8,MONTH(F22)+1,IF(MONTH(F22)&lt;10,10,IF(MONTH(F22)&lt;12,12,14))))))&gt;12),"00")</f>
        <v>0</v>
      </c>
      <c r="G23" s="49">
        <f>(YEAR(G22)+(IF(AND(ISNUMBER(MATCH(MONTH(G22),{2,4,5,6,7,8,10,12},0)),DAY(G22)&lt;=14),MONTH(G22),IF(MONTH(G22)&lt;2,2,IF(MONTH(G22)&lt;4,4,IF(MONTH(G22)&lt;8,MONTH(G22)+1,IF(MONTH(G22)&lt;10,10,IF(MONTH(G22)&lt;12,12,14))))))&gt;12))&amp;"-"&amp;TEXT(IF(AND(ISNUMBER(MATCH(MONTH(G22),{2,4,5,6,7,8,10,12},0)),DAY(G22)&lt;=14),MONTH(G22),IF(MONTH(G22)&lt;2,2,IF(MONTH(G22)&lt;4,4,IF(MONTH(G22)&lt;8,MONTH(G22)+1,IF(MONTH(G22)&lt;10,10,IF(MONTH(G22)&lt;12,12,14))))))-12*(IF(AND(ISNUMBER(MATCH(MONTH(G22),{2,4,5,6,7,8,10,12},0)),DAY(G22)&lt;=14),MONTH(G22),IF(MONTH(G22)&lt;2,2,IF(MONTH(G22)&lt;4,4,IF(MONTH(G22)&lt;8,MONTH(G22)+1,IF(MONTH(G22)&lt;10,10,IF(MONTH(G22)&lt;12,12,14))))))&gt;12),"00")</f>
        <v>0</v>
      </c>
      <c r="H23" s="49">
        <f>(YEAR(H22)+(IF(AND(ISNUMBER(MATCH(MONTH(H22),{2,4,5,6,7,8,10,12},0)),DAY(H22)&lt;=14),MONTH(H22),IF(MONTH(H22)&lt;2,2,IF(MONTH(H22)&lt;4,4,IF(MONTH(H22)&lt;8,MONTH(H22)+1,IF(MONTH(H22)&lt;10,10,IF(MONTH(H22)&lt;12,12,14))))))&gt;12))&amp;"-"&amp;TEXT(IF(AND(ISNUMBER(MATCH(MONTH(H22),{2,4,5,6,7,8,10,12},0)),DAY(H22)&lt;=14),MONTH(H22),IF(MONTH(H22)&lt;2,2,IF(MONTH(H22)&lt;4,4,IF(MONTH(H22)&lt;8,MONTH(H22)+1,IF(MONTH(H22)&lt;10,10,IF(MONTH(H22)&lt;12,12,14))))))-12*(IF(AND(ISNUMBER(MATCH(MONTH(H22),{2,4,5,6,7,8,10,12},0)),DAY(H22)&lt;=14),MONTH(H22),IF(MONTH(H22)&lt;2,2,IF(MONTH(H22)&lt;4,4,IF(MONTH(H22)&lt;8,MONTH(H22)+1,IF(MONTH(H22)&lt;10,10,IF(MONTH(H22)&lt;12,12,14))))))&gt;12),"00")</f>
        <v>0</v>
      </c>
      <c r="I23" s="49">
        <f>(YEAR(I22)+(IF(AND(ISNUMBER(MATCH(MONTH(I22),{2,4,5,6,7,8,10,12},0)),DAY(I22)&lt;=14),MONTH(I22),IF(MONTH(I22)&lt;2,2,IF(MONTH(I22)&lt;4,4,IF(MONTH(I22)&lt;8,MONTH(I22)+1,IF(MONTH(I22)&lt;10,10,IF(MONTH(I22)&lt;12,12,14))))))&gt;12))&amp;"-"&amp;TEXT(IF(AND(ISNUMBER(MATCH(MONTH(I22),{2,4,5,6,7,8,10,12},0)),DAY(I22)&lt;=14),MONTH(I22),IF(MONTH(I22)&lt;2,2,IF(MONTH(I22)&lt;4,4,IF(MONTH(I22)&lt;8,MONTH(I22)+1,IF(MONTH(I22)&lt;10,10,IF(MONTH(I22)&lt;12,12,14))))))-12*(IF(AND(ISNUMBER(MATCH(MONTH(I22),{2,4,5,6,7,8,10,12},0)),DAY(I22)&lt;=14),MONTH(I22),IF(MONTH(I22)&lt;2,2,IF(MONTH(I22)&lt;4,4,IF(MONTH(I22)&lt;8,MONTH(I22)+1,IF(MONTH(I22)&lt;10,10,IF(MONTH(I22)&lt;12,12,14))))))&gt;12),"00")</f>
        <v>0</v>
      </c>
      <c r="J23" s="49">
        <f>(YEAR(J22)+(IF(AND(ISNUMBER(MATCH(MONTH(J22),{2,4,5,6,7,8,10,12},0)),DAY(J22)&lt;=14),MONTH(J22),IF(MONTH(J22)&lt;2,2,IF(MONTH(J22)&lt;4,4,IF(MONTH(J22)&lt;8,MONTH(J22)+1,IF(MONTH(J22)&lt;10,10,IF(MONTH(J22)&lt;12,12,14))))))&gt;12))&amp;"-"&amp;TEXT(IF(AND(ISNUMBER(MATCH(MONTH(J22),{2,4,5,6,7,8,10,12},0)),DAY(J22)&lt;=14),MONTH(J22),IF(MONTH(J22)&lt;2,2,IF(MONTH(J22)&lt;4,4,IF(MONTH(J22)&lt;8,MONTH(J22)+1,IF(MONTH(J22)&lt;10,10,IF(MONTH(J22)&lt;12,12,14))))))-12*(IF(AND(ISNUMBER(MATCH(MONTH(J22),{2,4,5,6,7,8,10,12},0)),DAY(J22)&lt;=14),MONTH(J22),IF(MONTH(J22)&lt;2,2,IF(MONTH(J22)&lt;4,4,IF(MONTH(J22)&lt;8,MONTH(J22)+1,IF(MONTH(J22)&lt;10,10,IF(MONTH(J22)&lt;12,12,14))))))&gt;12),"00")</f>
        <v>0</v>
      </c>
      <c r="K23" s="49">
        <f>(YEAR(K22)+(IF(AND(ISNUMBER(MATCH(MONTH(K22),{2,4,5,6,7,8,10,12},0)),DAY(K22)&lt;=14),MONTH(K22),IF(MONTH(K22)&lt;2,2,IF(MONTH(K22)&lt;4,4,IF(MONTH(K22)&lt;8,MONTH(K22)+1,IF(MONTH(K22)&lt;10,10,IF(MONTH(K22)&lt;12,12,14))))))&gt;12))&amp;"-"&amp;TEXT(IF(AND(ISNUMBER(MATCH(MONTH(K22),{2,4,5,6,7,8,10,12},0)),DAY(K22)&lt;=14),MONTH(K22),IF(MONTH(K22)&lt;2,2,IF(MONTH(K22)&lt;4,4,IF(MONTH(K22)&lt;8,MONTH(K22)+1,IF(MONTH(K22)&lt;10,10,IF(MONTH(K22)&lt;12,12,14))))))-12*(IF(AND(ISNUMBER(MATCH(MONTH(K22),{2,4,5,6,7,8,10,12},0)),DAY(K22)&lt;=14),MONTH(K22),IF(MONTH(K22)&lt;2,2,IF(MONTH(K22)&lt;4,4,IF(MONTH(K22)&lt;8,MONTH(K22)+1,IF(MONTH(K22)&lt;10,10,IF(MONTH(K22)&lt;12,12,14))))))&gt;12),"00")</f>
        <v>0</v>
      </c>
      <c r="L23" s="49">
        <f>(YEAR(L22)+(IF(AND(ISNUMBER(MATCH(MONTH(L22),{2,4,5,6,7,8,10,12},0)),DAY(L22)&lt;=14),MONTH(L22),IF(MONTH(L22)&lt;2,2,IF(MONTH(L22)&lt;4,4,IF(MONTH(L22)&lt;8,MONTH(L22)+1,IF(MONTH(L22)&lt;10,10,IF(MONTH(L22)&lt;12,12,14))))))&gt;12))&amp;"-"&amp;TEXT(IF(AND(ISNUMBER(MATCH(MONTH(L22),{2,4,5,6,7,8,10,12},0)),DAY(L22)&lt;=14),MONTH(L22),IF(MONTH(L22)&lt;2,2,IF(MONTH(L22)&lt;4,4,IF(MONTH(L22)&lt;8,MONTH(L22)+1,IF(MONTH(L22)&lt;10,10,IF(MONTH(L22)&lt;12,12,14))))))-12*(IF(AND(ISNUMBER(MATCH(MONTH(L22),{2,4,5,6,7,8,10,12},0)),DAY(L22)&lt;=14),MONTH(L22),IF(MONTH(L22)&lt;2,2,IF(MONTH(L22)&lt;4,4,IF(MONTH(L22)&lt;8,MONTH(L22)+1,IF(MONTH(L22)&lt;10,10,IF(MONTH(L22)&lt;12,12,14))))))&gt;12),"00")</f>
        <v>0</v>
      </c>
      <c r="M23" s="49">
        <f>(YEAR(M22)+(IF(AND(ISNUMBER(MATCH(MONTH(M22),{2,4,5,6,7,8,10,12},0)),DAY(M22)&lt;=14),MONTH(M22),IF(MONTH(M22)&lt;2,2,IF(MONTH(M22)&lt;4,4,IF(MONTH(M22)&lt;8,MONTH(M22)+1,IF(MONTH(M22)&lt;10,10,IF(MONTH(M22)&lt;12,12,14))))))&gt;12))&amp;"-"&amp;TEXT(IF(AND(ISNUMBER(MATCH(MONTH(M22),{2,4,5,6,7,8,10,12},0)),DAY(M22)&lt;=14),MONTH(M22),IF(MONTH(M22)&lt;2,2,IF(MONTH(M22)&lt;4,4,IF(MONTH(M22)&lt;8,MONTH(M22)+1,IF(MONTH(M22)&lt;10,10,IF(MONTH(M22)&lt;12,12,14))))))-12*(IF(AND(ISNUMBER(MATCH(MONTH(M22),{2,4,5,6,7,8,10,12},0)),DAY(M22)&lt;=14),MONTH(M22),IF(MONTH(M22)&lt;2,2,IF(MONTH(M22)&lt;4,4,IF(MONTH(M22)&lt;8,MONTH(M22)+1,IF(MONTH(M22)&lt;10,10,IF(MONTH(M22)&lt;12,12,14))))))&gt;12),"00")</f>
        <v>0</v>
      </c>
    </row>
    <row r="25" spans="1:13">
      <c r="A25" s="3" t="s">
        <v>275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</row>
    <row r="26" spans="1:13">
      <c r="A26" s="7" t="s">
        <v>276</v>
      </c>
      <c r="B26" s="19">
        <f>(B14+IF(CrCornCash="Yes",0,CornBasis)+CornCarry)</f>
        <v>0</v>
      </c>
      <c r="C26" s="19">
        <f>(C14+IF(CrCornCash="Yes",0,CornBasis)+CornCarry)</f>
        <v>0</v>
      </c>
      <c r="D26" s="19">
        <f>(D14+IF(CrCornCash="Yes",0,CornBasis)+CornCarry)</f>
        <v>0</v>
      </c>
      <c r="E26" s="19">
        <f>(E14+IF(CrCornCash="Yes",0,CornBasis)+CornCarry)</f>
        <v>0</v>
      </c>
      <c r="F26" s="19">
        <f>(F14+IF(CrCornCash="Yes",0,CornBasis)+CornCarry)</f>
        <v>0</v>
      </c>
      <c r="G26" s="19">
        <f>(G14+IF(CrCornCash="Yes",0,CornBasis)+CornCarry)</f>
        <v>0</v>
      </c>
      <c r="H26" s="19">
        <f>(H14+IF(CrCornCash="Yes",0,CornBasis)+CornCarry)</f>
        <v>0</v>
      </c>
      <c r="I26" s="19">
        <f>(I14+IF(CrCornCash="Yes",0,CornBasis)+CornCarry)</f>
        <v>0</v>
      </c>
      <c r="J26" s="19">
        <f>(J14+IF(CrCornCash="Yes",0,CornBasis)+CornCarry)</f>
        <v>0</v>
      </c>
      <c r="K26" s="19">
        <f>(K14+IF(CrCornCash="Yes",0,CornBasis)+CornCarry)</f>
        <v>0</v>
      </c>
      <c r="L26" s="19">
        <f>(L14+IF(CrCornCash="Yes",0,CornBasis)+CornCarry)</f>
        <v>0</v>
      </c>
      <c r="M26" s="19">
        <f>(M14+IF(CrCornCash="Yes",0,CornBasis)+CornCarry)</f>
        <v>0</v>
      </c>
    </row>
    <row r="27" spans="1:13">
      <c r="A27" s="7" t="s">
        <v>277</v>
      </c>
      <c r="B27" s="19">
        <f>B15+SbmBasis</f>
        <v>0</v>
      </c>
      <c r="C27" s="19">
        <f>C15+SbmBasis</f>
        <v>0</v>
      </c>
      <c r="D27" s="19">
        <f>D15+SbmBasis</f>
        <v>0</v>
      </c>
      <c r="E27" s="19">
        <f>E15+SbmBasis</f>
        <v>0</v>
      </c>
      <c r="F27" s="19">
        <f>F15+SbmBasis</f>
        <v>0</v>
      </c>
      <c r="G27" s="19">
        <f>G15+SbmBasis</f>
        <v>0</v>
      </c>
      <c r="H27" s="19">
        <f>H15+SbmBasis</f>
        <v>0</v>
      </c>
      <c r="I27" s="19">
        <f>I15+SbmBasis</f>
        <v>0</v>
      </c>
      <c r="J27" s="19">
        <f>J15+SbmBasis</f>
        <v>0</v>
      </c>
      <c r="K27" s="19">
        <f>K15+SbmBasis</f>
        <v>0</v>
      </c>
      <c r="L27" s="19">
        <f>L15+SbmBasis</f>
        <v>0</v>
      </c>
      <c r="M27" s="19">
        <f>M15+SbmBasis</f>
        <v>0</v>
      </c>
    </row>
    <row r="28" spans="1:13">
      <c r="A28" s="7" t="s">
        <v>210</v>
      </c>
      <c r="B28" s="19">
        <f>B17+B18+Premium</f>
        <v>0</v>
      </c>
      <c r="C28" s="19">
        <f>C17+C18+Premium</f>
        <v>0</v>
      </c>
      <c r="D28" s="19">
        <f>D17+D18+Premium</f>
        <v>0</v>
      </c>
      <c r="E28" s="19">
        <f>E17+E18+Premium</f>
        <v>0</v>
      </c>
      <c r="F28" s="19">
        <f>F17+F18+Premium</f>
        <v>0</v>
      </c>
      <c r="G28" s="19">
        <f>G17+G18+Premium</f>
        <v>0</v>
      </c>
      <c r="H28" s="19">
        <f>H17+H18+Premium</f>
        <v>0</v>
      </c>
      <c r="I28" s="19">
        <f>I17+I18+Premium</f>
        <v>0</v>
      </c>
      <c r="J28" s="19">
        <f>J17+J18+Premium</f>
        <v>0</v>
      </c>
      <c r="K28" s="19">
        <f>K17+K18+Premium</f>
        <v>0</v>
      </c>
      <c r="L28" s="19">
        <f>L17+L18+Premium</f>
        <v>0</v>
      </c>
      <c r="M28" s="19">
        <f>M17+M18+Premium</f>
        <v>0</v>
      </c>
    </row>
    <row r="30" spans="1:13">
      <c r="A30" s="3" t="s">
        <v>278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</row>
    <row r="31" spans="1:13">
      <c r="A31" s="7" t="s">
        <v>279</v>
      </c>
      <c r="B31" s="19">
        <f>HeadSold*CrWeight*YieldPct/100/100*B28/HeadSold</f>
        <v>0</v>
      </c>
      <c r="C31" s="19">
        <f>HeadSold*CrWeight*YieldPct/100/100*C28/HeadSold</f>
        <v>0</v>
      </c>
      <c r="D31" s="19">
        <f>HeadSold*CrWeight*YieldPct/100/100*D28/HeadSold</f>
        <v>0</v>
      </c>
      <c r="E31" s="19">
        <f>HeadSold*CrWeight*YieldPct/100/100*E28/HeadSold</f>
        <v>0</v>
      </c>
      <c r="F31" s="19">
        <f>HeadSold*CrWeight*YieldPct/100/100*F28/HeadSold</f>
        <v>0</v>
      </c>
      <c r="G31" s="19">
        <f>HeadSold*CrWeight*YieldPct/100/100*G28/HeadSold</f>
        <v>0</v>
      </c>
      <c r="H31" s="19">
        <f>HeadSold*CrWeight*YieldPct/100/100*H28/HeadSold</f>
        <v>0</v>
      </c>
      <c r="I31" s="19">
        <f>HeadSold*CrWeight*YieldPct/100/100*I28/HeadSold</f>
        <v>0</v>
      </c>
      <c r="J31" s="19">
        <f>HeadSold*CrWeight*YieldPct/100/100*J28/HeadSold</f>
        <v>0</v>
      </c>
      <c r="K31" s="19">
        <f>HeadSold*CrWeight*YieldPct/100/100*K28/HeadSold</f>
        <v>0</v>
      </c>
      <c r="L31" s="19">
        <f>HeadSold*CrWeight*YieldPct/100/100*L28/HeadSold</f>
        <v>0</v>
      </c>
      <c r="M31" s="19">
        <f>HeadSold*CrWeight*YieldPct/100/100*M28/HeadSold</f>
        <v>0</v>
      </c>
    </row>
    <row r="32" spans="1:13">
      <c r="A32" s="7" t="s">
        <v>280</v>
      </c>
      <c r="B32" s="19">
        <f>HeadPlaced*(B13+WeanAdder+WeanFreight)/HeadSold</f>
        <v>0</v>
      </c>
      <c r="C32" s="19">
        <f>HeadPlaced*(C13+WeanAdder+WeanFreight)/HeadSold</f>
        <v>0</v>
      </c>
      <c r="D32" s="19">
        <f>HeadPlaced*(D13+WeanAdder+WeanFreight)/HeadSold</f>
        <v>0</v>
      </c>
      <c r="E32" s="19">
        <f>HeadPlaced*(E13+WeanAdder+WeanFreight)/HeadSold</f>
        <v>0</v>
      </c>
      <c r="F32" s="19">
        <f>HeadPlaced*(F13+WeanAdder+WeanFreight)/HeadSold</f>
        <v>0</v>
      </c>
      <c r="G32" s="19">
        <f>HeadPlaced*(G13+WeanAdder+WeanFreight)/HeadSold</f>
        <v>0</v>
      </c>
      <c r="H32" s="19">
        <f>HeadPlaced*(H13+WeanAdder+WeanFreight)/HeadSold</f>
        <v>0</v>
      </c>
      <c r="I32" s="19">
        <f>HeadPlaced*(I13+WeanAdder+WeanFreight)/HeadSold</f>
        <v>0</v>
      </c>
      <c r="J32" s="19">
        <f>HeadPlaced*(J13+WeanAdder+WeanFreight)/HeadSold</f>
        <v>0</v>
      </c>
      <c r="K32" s="19">
        <f>HeadPlaced*(K13+WeanAdder+WeanFreight)/HeadSold</f>
        <v>0</v>
      </c>
      <c r="L32" s="19">
        <f>HeadPlaced*(L13+WeanAdder+WeanFreight)/HeadSold</f>
        <v>0</v>
      </c>
      <c r="M32" s="19">
        <f>HeadPlaced*(M13+WeanAdder+WeanFreight)/HeadSold</f>
        <v>0</v>
      </c>
    </row>
    <row r="33" spans="1:13">
      <c r="A33" s="7" t="s">
        <v>281</v>
      </c>
      <c r="B33" s="19">
        <f>(FeedCornBu*B26+FeedSbmTons*B27+FeedDdgsTons*B16+FeedOtherUsd+FeedTons*FeedMill)/HeadSold</f>
        <v>0</v>
      </c>
      <c r="C33" s="19">
        <f>(FeedCornBu*C26+FeedSbmTons*C27+FeedDdgsTons*C16+FeedOtherUsd+FeedTons*FeedMill)/HeadSold</f>
        <v>0</v>
      </c>
      <c r="D33" s="19">
        <f>(FeedCornBu*D26+FeedSbmTons*D27+FeedDdgsTons*D16+FeedOtherUsd+FeedTons*FeedMill)/HeadSold</f>
        <v>0</v>
      </c>
      <c r="E33" s="19">
        <f>(FeedCornBu*E26+FeedSbmTons*E27+FeedDdgsTons*E16+FeedOtherUsd+FeedTons*FeedMill)/HeadSold</f>
        <v>0</v>
      </c>
      <c r="F33" s="19">
        <f>(FeedCornBu*F26+FeedSbmTons*F27+FeedDdgsTons*F16+FeedOtherUsd+FeedTons*FeedMill)/HeadSold</f>
        <v>0</v>
      </c>
      <c r="G33" s="19">
        <f>(FeedCornBu*G26+FeedSbmTons*G27+FeedDdgsTons*G16+FeedOtherUsd+FeedTons*FeedMill)/HeadSold</f>
        <v>0</v>
      </c>
      <c r="H33" s="19">
        <f>(FeedCornBu*H26+FeedSbmTons*H27+FeedDdgsTons*H16+FeedOtherUsd+FeedTons*FeedMill)/HeadSold</f>
        <v>0</v>
      </c>
      <c r="I33" s="19">
        <f>(FeedCornBu*I26+FeedSbmTons*I27+FeedDdgsTons*I16+FeedOtherUsd+FeedTons*FeedMill)/HeadSold</f>
        <v>0</v>
      </c>
      <c r="J33" s="19">
        <f>(FeedCornBu*J26+FeedSbmTons*J27+FeedDdgsTons*J16+FeedOtherUsd+FeedTons*FeedMill)/HeadSold</f>
        <v>0</v>
      </c>
      <c r="K33" s="19">
        <f>(FeedCornBu*K26+FeedSbmTons*K27+FeedDdgsTons*K16+FeedOtherUsd+FeedTons*FeedMill)/HeadSold</f>
        <v>0</v>
      </c>
      <c r="L33" s="19">
        <f>(FeedCornBu*L26+FeedSbmTons*L27+FeedDdgsTons*L16+FeedOtherUsd+FeedTons*FeedMill)/HeadSold</f>
        <v>0</v>
      </c>
      <c r="M33" s="19">
        <f>(FeedCornBu*M26+FeedSbmTons*M27+FeedDdgsTons*M16+FeedOtherUsd+FeedTons*FeedMill)/HeadSold</f>
        <v>0</v>
      </c>
    </row>
    <row r="34" spans="1:13">
      <c r="A34" s="7" t="s">
        <v>282</v>
      </c>
      <c r="B34" s="19">
        <f>IF(BarnMode="$/space/year",HeadPlaced*BarnRent*(CrDays+BarnDowntime)/365,HeadPlaced*BarnPerPig)/HeadSold</f>
        <v>0</v>
      </c>
      <c r="C34" s="19">
        <f>IF(BarnMode="$/space/year",HeadPlaced*BarnRent*(CrDays+BarnDowntime)/365,HeadPlaced*BarnPerPig)/HeadSold</f>
        <v>0</v>
      </c>
      <c r="D34" s="19">
        <f>IF(BarnMode="$/space/year",HeadPlaced*BarnRent*(CrDays+BarnDowntime)/365,HeadPlaced*BarnPerPig)/HeadSold</f>
        <v>0</v>
      </c>
      <c r="E34" s="19">
        <f>IF(BarnMode="$/space/year",HeadPlaced*BarnRent*(CrDays+BarnDowntime)/365,HeadPlaced*BarnPerPig)/HeadSold</f>
        <v>0</v>
      </c>
      <c r="F34" s="19">
        <f>IF(BarnMode="$/space/year",HeadPlaced*BarnRent*(CrDays+BarnDowntime)/365,HeadPlaced*BarnPerPig)/HeadSold</f>
        <v>0</v>
      </c>
      <c r="G34" s="19">
        <f>IF(BarnMode="$/space/year",HeadPlaced*BarnRent*(CrDays+BarnDowntime)/365,HeadPlaced*BarnPerPig)/HeadSold</f>
        <v>0</v>
      </c>
      <c r="H34" s="19">
        <f>IF(BarnMode="$/space/year",HeadPlaced*BarnRent*(CrDays+BarnDowntime)/365,HeadPlaced*BarnPerPig)/HeadSold</f>
        <v>0</v>
      </c>
      <c r="I34" s="19">
        <f>IF(BarnMode="$/space/year",HeadPlaced*BarnRent*(CrDays+BarnDowntime)/365,HeadPlaced*BarnPerPig)/HeadSold</f>
        <v>0</v>
      </c>
      <c r="J34" s="19">
        <f>IF(BarnMode="$/space/year",HeadPlaced*BarnRent*(CrDays+BarnDowntime)/365,HeadPlaced*BarnPerPig)/HeadSold</f>
        <v>0</v>
      </c>
      <c r="K34" s="19">
        <f>IF(BarnMode="$/space/year",HeadPlaced*BarnRent*(CrDays+BarnDowntime)/365,HeadPlaced*BarnPerPig)/HeadSold</f>
        <v>0</v>
      </c>
      <c r="L34" s="19">
        <f>IF(BarnMode="$/space/year",HeadPlaced*BarnRent*(CrDays+BarnDowntime)/365,HeadPlaced*BarnPerPig)/HeadSold</f>
        <v>0</v>
      </c>
      <c r="M34" s="19">
        <f>IF(BarnMode="$/space/year",HeadPlaced*BarnRent*(CrDays+BarnDowntime)/365,HeadPlaced*BarnPerPig)/HeadSold</f>
        <v>0</v>
      </c>
    </row>
    <row r="35" spans="1:13">
      <c r="A35" s="7" t="s">
        <v>283</v>
      </c>
      <c r="B35" s="19">
        <f>(CostLabor+CostVet+CostUtilities+CostTrucking+CostInsMisc+CostGA+CostMortality+CostOther)/HeadSold</f>
        <v>0</v>
      </c>
      <c r="C35" s="19">
        <f>(CostLabor+CostVet+CostUtilities+CostTrucking+CostInsMisc+CostGA+CostMortality+CostOther)/HeadSold</f>
        <v>0</v>
      </c>
      <c r="D35" s="19">
        <f>(CostLabor+CostVet+CostUtilities+CostTrucking+CostInsMisc+CostGA+CostMortality+CostOther)/HeadSold</f>
        <v>0</v>
      </c>
      <c r="E35" s="19">
        <f>(CostLabor+CostVet+CostUtilities+CostTrucking+CostInsMisc+CostGA+CostMortality+CostOther)/HeadSold</f>
        <v>0</v>
      </c>
      <c r="F35" s="19">
        <f>(CostLabor+CostVet+CostUtilities+CostTrucking+CostInsMisc+CostGA+CostMortality+CostOther)/HeadSold</f>
        <v>0</v>
      </c>
      <c r="G35" s="19">
        <f>(CostLabor+CostVet+CostUtilities+CostTrucking+CostInsMisc+CostGA+CostMortality+CostOther)/HeadSold</f>
        <v>0</v>
      </c>
      <c r="H35" s="19">
        <f>(CostLabor+CostVet+CostUtilities+CostTrucking+CostInsMisc+CostGA+CostMortality+CostOther)/HeadSold</f>
        <v>0</v>
      </c>
      <c r="I35" s="19">
        <f>(CostLabor+CostVet+CostUtilities+CostTrucking+CostInsMisc+CostGA+CostMortality+CostOther)/HeadSold</f>
        <v>0</v>
      </c>
      <c r="J35" s="19">
        <f>(CostLabor+CostVet+CostUtilities+CostTrucking+CostInsMisc+CostGA+CostMortality+CostOther)/HeadSold</f>
        <v>0</v>
      </c>
      <c r="K35" s="19">
        <f>(CostLabor+CostVet+CostUtilities+CostTrucking+CostInsMisc+CostGA+CostMortality+CostOther)/HeadSold</f>
        <v>0</v>
      </c>
      <c r="L35" s="19">
        <f>(CostLabor+CostVet+CostUtilities+CostTrucking+CostInsMisc+CostGA+CostMortality+CostOther)/HeadSold</f>
        <v>0</v>
      </c>
      <c r="M35" s="19">
        <f>(CostLabor+CostVet+CostUtilities+CostTrucking+CostInsMisc+CostGA+CostMortality+CostOther)/HeadSold</f>
        <v>0</v>
      </c>
    </row>
    <row r="36" spans="1:13">
      <c r="A36" s="7" t="s">
        <v>284</v>
      </c>
      <c r="B36" s="19">
        <f>IF(InterestMode="annual rate",InterestPct/100*CrDays/365*(HeadPlaced*(B13+WeanAdder+WeanFreight)+0.5*(FeedCornBu*B26+FeedSbmTons*B27+FeedDdgsTons*B16+FeedOtherUsd+FeedTons*FeedMill)),HeadPlaced*InterestPerPig)/HeadSold</f>
        <v>0</v>
      </c>
      <c r="C36" s="19">
        <f>IF(InterestMode="annual rate",InterestPct/100*CrDays/365*(HeadPlaced*(C13+WeanAdder+WeanFreight)+0.5*(FeedCornBu*C26+FeedSbmTons*C27+FeedDdgsTons*C16+FeedOtherUsd+FeedTons*FeedMill)),HeadPlaced*InterestPerPig)/HeadSold</f>
        <v>0</v>
      </c>
      <c r="D36" s="19">
        <f>IF(InterestMode="annual rate",InterestPct/100*CrDays/365*(HeadPlaced*(D13+WeanAdder+WeanFreight)+0.5*(FeedCornBu*D26+FeedSbmTons*D27+FeedDdgsTons*D16+FeedOtherUsd+FeedTons*FeedMill)),HeadPlaced*InterestPerPig)/HeadSold</f>
        <v>0</v>
      </c>
      <c r="E36" s="19">
        <f>IF(InterestMode="annual rate",InterestPct/100*CrDays/365*(HeadPlaced*(E13+WeanAdder+WeanFreight)+0.5*(FeedCornBu*E26+FeedSbmTons*E27+FeedDdgsTons*E16+FeedOtherUsd+FeedTons*FeedMill)),HeadPlaced*InterestPerPig)/HeadSold</f>
        <v>0</v>
      </c>
      <c r="F36" s="19">
        <f>IF(InterestMode="annual rate",InterestPct/100*CrDays/365*(HeadPlaced*(F13+WeanAdder+WeanFreight)+0.5*(FeedCornBu*F26+FeedSbmTons*F27+FeedDdgsTons*F16+FeedOtherUsd+FeedTons*FeedMill)),HeadPlaced*InterestPerPig)/HeadSold</f>
        <v>0</v>
      </c>
      <c r="G36" s="19">
        <f>IF(InterestMode="annual rate",InterestPct/100*CrDays/365*(HeadPlaced*(G13+WeanAdder+WeanFreight)+0.5*(FeedCornBu*G26+FeedSbmTons*G27+FeedDdgsTons*G16+FeedOtherUsd+FeedTons*FeedMill)),HeadPlaced*InterestPerPig)/HeadSold</f>
        <v>0</v>
      </c>
      <c r="H36" s="19">
        <f>IF(InterestMode="annual rate",InterestPct/100*CrDays/365*(HeadPlaced*(H13+WeanAdder+WeanFreight)+0.5*(FeedCornBu*H26+FeedSbmTons*H27+FeedDdgsTons*H16+FeedOtherUsd+FeedTons*FeedMill)),HeadPlaced*InterestPerPig)/HeadSold</f>
        <v>0</v>
      </c>
      <c r="I36" s="19">
        <f>IF(InterestMode="annual rate",InterestPct/100*CrDays/365*(HeadPlaced*(I13+WeanAdder+WeanFreight)+0.5*(FeedCornBu*I26+FeedSbmTons*I27+FeedDdgsTons*I16+FeedOtherUsd+FeedTons*FeedMill)),HeadPlaced*InterestPerPig)/HeadSold</f>
        <v>0</v>
      </c>
      <c r="J36" s="19">
        <f>IF(InterestMode="annual rate",InterestPct/100*CrDays/365*(HeadPlaced*(J13+WeanAdder+WeanFreight)+0.5*(FeedCornBu*J26+FeedSbmTons*J27+FeedDdgsTons*J16+FeedOtherUsd+FeedTons*FeedMill)),HeadPlaced*InterestPerPig)/HeadSold</f>
        <v>0</v>
      </c>
      <c r="K36" s="19">
        <f>IF(InterestMode="annual rate",InterestPct/100*CrDays/365*(HeadPlaced*(K13+WeanAdder+WeanFreight)+0.5*(FeedCornBu*K26+FeedSbmTons*K27+FeedDdgsTons*K16+FeedOtherUsd+FeedTons*FeedMill)),HeadPlaced*InterestPerPig)/HeadSold</f>
        <v>0</v>
      </c>
      <c r="L36" s="19">
        <f>IF(InterestMode="annual rate",InterestPct/100*CrDays/365*(HeadPlaced*(L13+WeanAdder+WeanFreight)+0.5*(FeedCornBu*L26+FeedSbmTons*L27+FeedDdgsTons*L16+FeedOtherUsd+FeedTons*FeedMill)),HeadPlaced*InterestPerPig)/HeadSold</f>
        <v>0</v>
      </c>
      <c r="M36" s="19">
        <f>IF(InterestMode="annual rate",InterestPct/100*CrDays/365*(HeadPlaced*(M13+WeanAdder+WeanFreight)+0.5*(FeedCornBu*M26+FeedSbmTons*M27+FeedDdgsTons*M16+FeedOtherUsd+FeedTons*FeedMill)),HeadPlaced*InterestPerPig)/HeadSold</f>
        <v>0</v>
      </c>
    </row>
    <row r="37" spans="1:13">
      <c r="A37" s="7" t="s">
        <v>285</v>
      </c>
      <c r="B37" s="19">
        <f>B31*CheckoffPct/100</f>
        <v>0</v>
      </c>
      <c r="C37" s="19">
        <f>C31*CheckoffPct/100</f>
        <v>0</v>
      </c>
      <c r="D37" s="19">
        <f>D31*CheckoffPct/100</f>
        <v>0</v>
      </c>
      <c r="E37" s="19">
        <f>E31*CheckoffPct/100</f>
        <v>0</v>
      </c>
      <c r="F37" s="19">
        <f>F31*CheckoffPct/100</f>
        <v>0</v>
      </c>
      <c r="G37" s="19">
        <f>G31*CheckoffPct/100</f>
        <v>0</v>
      </c>
      <c r="H37" s="19">
        <f>H31*CheckoffPct/100</f>
        <v>0</v>
      </c>
      <c r="I37" s="19">
        <f>I31*CheckoffPct/100</f>
        <v>0</v>
      </c>
      <c r="J37" s="19">
        <f>J31*CheckoffPct/100</f>
        <v>0</v>
      </c>
      <c r="K37" s="19">
        <f>K31*CheckoffPct/100</f>
        <v>0</v>
      </c>
      <c r="L37" s="19">
        <f>L31*CheckoffPct/100</f>
        <v>0</v>
      </c>
      <c r="M37" s="19">
        <f>M31*CheckoffPct/100</f>
        <v>0</v>
      </c>
    </row>
    <row r="38" spans="1:13">
      <c r="A38" s="30" t="s">
        <v>286</v>
      </c>
      <c r="B38" s="32">
        <f>B32+B33+B34+B35+B36+B37</f>
        <v>0</v>
      </c>
      <c r="C38" s="32">
        <f>C32+C33+C34+C35+C36+C37</f>
        <v>0</v>
      </c>
      <c r="D38" s="32">
        <f>D32+D33+D34+D35+D36+D37</f>
        <v>0</v>
      </c>
      <c r="E38" s="32">
        <f>E32+E33+E34+E35+E36+E37</f>
        <v>0</v>
      </c>
      <c r="F38" s="32">
        <f>F32+F33+F34+F35+F36+F37</f>
        <v>0</v>
      </c>
      <c r="G38" s="32">
        <f>G32+G33+G34+G35+G36+G37</f>
        <v>0</v>
      </c>
      <c r="H38" s="32">
        <f>H32+H33+H34+H35+H36+H37</f>
        <v>0</v>
      </c>
      <c r="I38" s="32">
        <f>I32+I33+I34+I35+I36+I37</f>
        <v>0</v>
      </c>
      <c r="J38" s="32">
        <f>J32+J33+J34+J35+J36+J37</f>
        <v>0</v>
      </c>
      <c r="K38" s="32">
        <f>K32+K33+K34+K35+K36+K37</f>
        <v>0</v>
      </c>
      <c r="L38" s="32">
        <f>L32+L33+L34+L35+L36+L37</f>
        <v>0</v>
      </c>
      <c r="M38" s="32">
        <f>M32+M33+M34+M35+M36+M37</f>
        <v>0</v>
      </c>
    </row>
    <row r="39" spans="1:13">
      <c r="A39" s="30" t="s">
        <v>287</v>
      </c>
      <c r="B39" s="32">
        <f>B31-B38</f>
        <v>0</v>
      </c>
      <c r="C39" s="32">
        <f>C31-C38</f>
        <v>0</v>
      </c>
      <c r="D39" s="32">
        <f>D31-D38</f>
        <v>0</v>
      </c>
      <c r="E39" s="32">
        <f>E31-E38</f>
        <v>0</v>
      </c>
      <c r="F39" s="32">
        <f>F31-F38</f>
        <v>0</v>
      </c>
      <c r="G39" s="32">
        <f>G31-G38</f>
        <v>0</v>
      </c>
      <c r="H39" s="32">
        <f>H31-H38</f>
        <v>0</v>
      </c>
      <c r="I39" s="32">
        <f>I31-I38</f>
        <v>0</v>
      </c>
      <c r="J39" s="32">
        <f>J31-J38</f>
        <v>0</v>
      </c>
      <c r="K39" s="32">
        <f>K31-K38</f>
        <v>0</v>
      </c>
      <c r="L39" s="32">
        <f>L31-L38</f>
        <v>0</v>
      </c>
      <c r="M39" s="32">
        <f>M31-M38</f>
        <v>0</v>
      </c>
    </row>
    <row r="40" spans="1:13">
      <c r="A40" s="7" t="s">
        <v>288</v>
      </c>
      <c r="B40" s="19">
        <f>B39-(Principal+TermInterest)</f>
        <v>0</v>
      </c>
      <c r="C40" s="19">
        <f>C39-(Principal+TermInterest)</f>
        <v>0</v>
      </c>
      <c r="D40" s="19">
        <f>D39-(Principal+TermInterest)</f>
        <v>0</v>
      </c>
      <c r="E40" s="19">
        <f>E39-(Principal+TermInterest)</f>
        <v>0</v>
      </c>
      <c r="F40" s="19">
        <f>F39-(Principal+TermInterest)</f>
        <v>0</v>
      </c>
      <c r="G40" s="19">
        <f>G39-(Principal+TermInterest)</f>
        <v>0</v>
      </c>
      <c r="H40" s="19">
        <f>H39-(Principal+TermInterest)</f>
        <v>0</v>
      </c>
      <c r="I40" s="19">
        <f>I39-(Principal+TermInterest)</f>
        <v>0</v>
      </c>
      <c r="J40" s="19">
        <f>J39-(Principal+TermInterest)</f>
        <v>0</v>
      </c>
      <c r="K40" s="19">
        <f>K39-(Principal+TermInterest)</f>
        <v>0</v>
      </c>
      <c r="L40" s="19">
        <f>L39-(Principal+TermInterest)</f>
        <v>0</v>
      </c>
      <c r="M40" s="19">
        <f>M39-(Principal+TermInterest)</f>
        <v>0</v>
      </c>
    </row>
  </sheetData>
  <mergeCells count="4">
    <mergeCell ref="D5:E5"/>
    <mergeCell ref="D6:E6"/>
    <mergeCell ref="D7:E7"/>
    <mergeCell ref="D8:E8"/>
  </mergeCells>
  <conditionalFormatting sqref="B39:M39">
    <cfRule type="cellIs" dxfId="3" priority="1" operator="lessThan">
      <formula>0</formula>
    </cfRule>
    <cfRule type="cellIs" dxfId="4" priority="2" operator="greaterThan">
      <formula>0</formula>
    </cfRule>
  </conditionalFormatting>
  <conditionalFormatting sqref="B40:M40">
    <cfRule type="cellIs" dxfId="3" priority="3" operator="lessThan">
      <formula>0</formula>
    </cfRule>
    <cfRule type="cellIs" dxfId="4" priority="4" operator="greaterThan">
      <formula>0</formula>
    </cfRule>
  </conditionalFormatting>
  <conditionalFormatting sqref="F5">
    <cfRule type="cellIs" dxfId="1" priority="5" operator="lessThan">
      <formula>0</formula>
    </cfRule>
  </conditionalFormatting>
  <dataValidations count="1">
    <dataValidation type="list" allowBlank="1" showInputMessage="1" showErrorMessage="1" promptTitle="Corn series" prompt="Yes if the weekly corn prices already include basis (cash)." sqref="B8">
      <formula1>"Yes,No"</formula1>
    </dataValidation>
  </dataValidations>
  <pageMargins left="0.4" right="0.4" top="0.6" bottom="0.6" header="0.3" footer="0.3"/>
  <pageSetup paperSize="1" orientation="landscape"/>
  <headerFooter>
    <oddHeader>&amp;L&amp;8&amp;K6B6B66Wean-to-Finish Group Projection&amp;R&amp;8&amp;K6B6B66&amp;A</oddHeader>
    <oddFooter>&amp;L&amp;8&amp;K6B6B66Printed &amp;D&amp;R&amp;8&amp;K6B6B66Page &amp;P of &amp;N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115</vt:i4>
      </vt:variant>
    </vt:vector>
  </HeadingPairs>
  <TitlesOfParts>
    <vt:vector size="124" baseType="lpstr">
      <vt:lpstr>How to use</vt:lpstr>
      <vt:lpstr>Dashboard</vt:lpstr>
      <vt:lpstr>Inputs</vt:lpstr>
      <vt:lpstr>Locations</vt:lpstr>
      <vt:lpstr>Feed</vt:lpstr>
      <vt:lpstr>Marketing</vt:lpstr>
      <vt:lpstr>Market Data</vt:lpstr>
      <vt:lpstr>Costs</vt:lpstr>
      <vt:lpstr>Weekly Crush</vt:lpstr>
      <vt:lpstr>AvgDays</vt:lpstr>
      <vt:lpstr>BarnDays</vt:lpstr>
      <vt:lpstr>BarnDowntime</vt:lpstr>
      <vt:lpstr>BarnMode</vt:lpstr>
      <vt:lpstr>BarnPerPig</vt:lpstr>
      <vt:lpstr>BarnRent</vt:lpstr>
      <vt:lpstr>BasisByPeriod</vt:lpstr>
      <vt:lpstr>CarcassCwt</vt:lpstr>
      <vt:lpstr>CheckoffPct</vt:lpstr>
      <vt:lpstr>CornBasis</vt:lpstr>
      <vt:lpstr>CornCarry</vt:lpstr>
      <vt:lpstr>CornCash</vt:lpstr>
      <vt:lpstr>CornFutures</vt:lpstr>
      <vt:lpstr>CornHedged</vt:lpstr>
      <vt:lpstr>CornHedgePct</vt:lpstr>
      <vt:lpstr>CostBarn</vt:lpstr>
      <vt:lpstr>CostCheckoff</vt:lpstr>
      <vt:lpstr>CostFeed</vt:lpstr>
      <vt:lpstr>CostGA</vt:lpstr>
      <vt:lpstr>CostInsMisc</vt:lpstr>
      <vt:lpstr>CostInterest</vt:lpstr>
      <vt:lpstr>CostLabor</vt:lpstr>
      <vt:lpstr>CostMortality</vt:lpstr>
      <vt:lpstr>CostOther</vt:lpstr>
      <vt:lpstr>CostPigs</vt:lpstr>
      <vt:lpstr>CostTrucking</vt:lpstr>
      <vt:lpstr>CostUtilities</vt:lpstr>
      <vt:lpstr>CostVet</vt:lpstr>
      <vt:lpstr>CrCornCash</vt:lpstr>
      <vt:lpstr>CrDays</vt:lpstr>
      <vt:lpstr>CrLag</vt:lpstr>
      <vt:lpstr>CrWeight</vt:lpstr>
      <vt:lpstr>CutDays</vt:lpstr>
      <vt:lpstr>DdgsPrice</vt:lpstr>
      <vt:lpstr>DeadFeedShare</vt:lpstr>
      <vt:lpstr>FeedCornBu</vt:lpstr>
      <vt:lpstr>FeedCost</vt:lpstr>
      <vt:lpstr>FeedDdgsTons</vt:lpstr>
      <vt:lpstr>FeedMill</vt:lpstr>
      <vt:lpstr>FeedOtherUsd</vt:lpstr>
      <vt:lpstr>FeedSbmTons</vt:lpstr>
      <vt:lpstr>FeedTons</vt:lpstr>
      <vt:lpstr>FutContracts</vt:lpstr>
      <vt:lpstr>FutPrices</vt:lpstr>
      <vt:lpstr>GA</vt:lpstr>
      <vt:lpstr>GrossRevenue</vt:lpstr>
      <vt:lpstr>HeadPlaced</vt:lpstr>
      <vt:lpstr>HeadSold</vt:lpstr>
      <vt:lpstr>HogHedged</vt:lpstr>
      <vt:lpstr>HogHedgePct</vt:lpstr>
      <vt:lpstr>InsMisc</vt:lpstr>
      <vt:lpstr>InterestMode</vt:lpstr>
      <vt:lpstr>InterestPct</vt:lpstr>
      <vt:lpstr>InterestPerPig</vt:lpstr>
      <vt:lpstr>KpiAvgPrice</vt:lpstr>
      <vt:lpstr>KpiBreakeven</vt:lpstr>
      <vt:lpstr>KpiCostHd</vt:lpstr>
      <vt:lpstr>KpiDebt</vt:lpstr>
      <vt:lpstr>KpiFeedConv</vt:lpstr>
      <vt:lpstr>KpiNet</vt:lpstr>
      <vt:lpstr>KpiNetAfterDebtHd</vt:lpstr>
      <vt:lpstr>KpiNetHd</vt:lpstr>
      <vt:lpstr>KpiRevenue</vt:lpstr>
      <vt:lpstr>KpiRevHd</vt:lpstr>
      <vt:lpstr>LaborHours</vt:lpstr>
      <vt:lpstr>LaborMode</vt:lpstr>
      <vt:lpstr>LaborPerPig</vt:lpstr>
      <vt:lpstr>LaborWage</vt:lpstr>
      <vt:lpstr>LiveCwt</vt:lpstr>
      <vt:lpstr>Location</vt:lpstr>
      <vt:lpstr>LocBarnRent</vt:lpstr>
      <vt:lpstr>LocCornBasis</vt:lpstr>
      <vt:lpstr>LocDdgs</vt:lpstr>
      <vt:lpstr>LocNames</vt:lpstr>
      <vt:lpstr>LocRow</vt:lpstr>
      <vt:lpstr>LocSbmBasis</vt:lpstr>
      <vt:lpstr>LocWage</vt:lpstr>
      <vt:lpstr>MortalityPct</vt:lpstr>
      <vt:lpstr>MortCost</vt:lpstr>
      <vt:lpstr>MortMode</vt:lpstr>
      <vt:lpstr>OtherSold</vt:lpstr>
      <vt:lpstr>PigsFed</vt:lpstr>
      <vt:lpstr>PlacementDate</vt:lpstr>
      <vt:lpstr>Premium</vt:lpstr>
      <vt:lpstr>Principal</vt:lpstr>
      <vt:lpstr>Costs!Print_Area</vt:lpstr>
      <vt:lpstr>Dashboard!Print_Area</vt:lpstr>
      <vt:lpstr>Feed!Print_Area</vt:lpstr>
      <vt:lpstr>'How to use'!Print_Area</vt:lpstr>
      <vt:lpstr>Inputs!Print_Area</vt:lpstr>
      <vt:lpstr>Locations!Print_Area</vt:lpstr>
      <vt:lpstr>'Market Data'!Print_Area</vt:lpstr>
      <vt:lpstr>Marketing!Print_Area</vt:lpstr>
      <vt:lpstr>'Weekly Crush'!Print_Area</vt:lpstr>
      <vt:lpstr>Locations!Print_Titles</vt:lpstr>
      <vt:lpstr>SbmBasis</vt:lpstr>
      <vt:lpstr>SbmCash</vt:lpstr>
      <vt:lpstr>SbmFutures</vt:lpstr>
      <vt:lpstr>SbmHedged</vt:lpstr>
      <vt:lpstr>SbmHedgePct</vt:lpstr>
      <vt:lpstr>SensGrid</vt:lpstr>
      <vt:lpstr>TermInterest</vt:lpstr>
      <vt:lpstr>TotalCost</vt:lpstr>
      <vt:lpstr>Trucking</vt:lpstr>
      <vt:lpstr>Utilities</vt:lpstr>
      <vt:lpstr>VetMed</vt:lpstr>
      <vt:lpstr>WeanAdder</vt:lpstr>
      <vt:lpstr>WeanCash</vt:lpstr>
      <vt:lpstr>WeanFormula</vt:lpstr>
      <vt:lpstr>WeanFreight</vt:lpstr>
      <vt:lpstr>WeanManual</vt:lpstr>
      <vt:lpstr>WeanPrice</vt:lpstr>
      <vt:lpstr>WeanSource</vt:lpstr>
      <vt:lpstr>WeanWeight</vt:lpstr>
      <vt:lpstr>YieldPct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Wean-to-Finish Group Projection</dc:title>
  <dc:subject>Costs, revenue and breakeven for a wean-to-finish group</dc:subject>
  <dc:creator/>
  <dc:description>Generated by the W2F projection dashboard v0.1.0</dc:description>
  <cp:lastModifiedBy/>
  <dcterms:created xsi:type="dcterms:W3CDTF">2026-10-19T04:27:41Z</dcterms:created>
  <dcterms:modified xsi:type="dcterms:W3CDTF">2026-10-19T04:27:41Z</dcterms:modified>
</cp:coreProperties>
</file>