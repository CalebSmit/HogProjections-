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Inputs" sheetId="2" r:id="rId2"/>
    <sheet name="Locations" sheetId="3" r:id="rId3"/>
    <sheet name="Feed" sheetId="4" r:id="rId4"/>
    <sheet name="Marketing" sheetId="5" r:id="rId5"/>
    <sheet name="Market Data" sheetId="6" r:id="rId6"/>
    <sheet name="Costs" sheetId="7" r:id="rId7"/>
  </sheets>
  <definedNames>
    <definedName name="AvgDays">SUMPRODUCT(Marketing!$A$2:$A$9,Marketing!$B$2:$B$9)/100</definedName>
    <definedName name="BarnDays">Inputs!$C$54</definedName>
    <definedName name="BarnDowntime">Inputs!$C$28</definedName>
    <definedName name="BarnMode">Inputs!$C$27</definedName>
    <definedName name="BarnPerPig">Inputs!$C$29</definedName>
    <definedName name="BarnRent">Inputs!$C$48</definedName>
    <definedName name="BasisByPeriod">'Market Data'!$F$3:$F$26</definedName>
    <definedName name="CarcassCwt">SUMPRODUCT(Marketing!$K$2:$K$9,Marketing!$L$2:$L$9)/100</definedName>
    <definedName name="CheckoffCost">Costs!$B$11</definedName>
    <definedName name="CheckoffPct">Inputs!$C$41</definedName>
    <definedName name="CornBasis">Inputs!$C$45</definedName>
    <definedName name="CornCash">Inputs!$C$50</definedName>
    <definedName name="CornFutures">Inputs!$C$22</definedName>
    <definedName name="DdgsPrice">Inputs!$C$47</definedName>
    <definedName name="DeadFeedShare">Inputs!$C$10</definedName>
    <definedName name="FeedCost">Feed!$M$14</definedName>
    <definedName name="FeedMill">Inputs!$C$24</definedName>
    <definedName name="FeedTons">Feed!$H$14</definedName>
    <definedName name="FutContracts">'Market Data'!$A$3:$A$26</definedName>
    <definedName name="FutPrices">'Market Data'!$B$3:$B$26</definedName>
    <definedName name="GrossRevenue">Marketing!$M$10</definedName>
    <definedName name="HeadPlaced">Inputs!$C$6</definedName>
    <definedName name="HeadSold">Inputs!$C$53</definedName>
    <definedName name="InsMisc">Inputs!$C$36</definedName>
    <definedName name="InterestPct">Inputs!$C$37</definedName>
    <definedName name="LaborHours">Inputs!$C$31</definedName>
    <definedName name="LaborMode">Inputs!$C$30</definedName>
    <definedName name="LaborPerPig">Inputs!$C$32</definedName>
    <definedName name="LaborWage">Inputs!$C$49</definedName>
    <definedName name="LiveCwt">SUMPRODUCT(Marketing!$K$2:$K$9,Marketing!$C$2:$C$9)/100</definedName>
    <definedName name="Location">Inputs!$C$12</definedName>
    <definedName name="LocRow">Inputs!$C$44</definedName>
    <definedName name="MortalityPct">Inputs!$C$9</definedName>
    <definedName name="PigsFed">Inputs!$C$55</definedName>
    <definedName name="PlacementDate">Inputs!$C$7</definedName>
    <definedName name="Premium">Inputs!$C$40</definedName>
    <definedName name="SbmBasis">Inputs!$C$46</definedName>
    <definedName name="SbmCash">Inputs!$C$51</definedName>
    <definedName name="SbmFutures">Inputs!$C$23</definedName>
    <definedName name="TotalCost">Costs!$B$12</definedName>
    <definedName name="Trucking">Inputs!$C$35</definedName>
    <definedName name="Utilities">Inputs!$C$34</definedName>
    <definedName name="VetMed">Inputs!$C$33</definedName>
    <definedName name="WeanCash">Inputs!$C$16</definedName>
    <definedName name="WeanFormula">Inputs!$C$17</definedName>
    <definedName name="WeanFreight">Inputs!$C$19</definedName>
    <definedName name="WeanManual">Inputs!$C$18</definedName>
    <definedName name="WeanPrice">Inputs!$C$52</definedName>
    <definedName name="WeanSource">Inputs!$C$15</definedName>
    <definedName name="WeanWeight">Inputs!$C$8</definedName>
    <definedName name="YieldPct">Inputs!$C$11</definedName>
  </definedNames>
  <calcPr calcId="124519" fullCalcOnLoad="1"/>
</workbook>
</file>

<file path=xl/sharedStrings.xml><?xml version="1.0" encoding="utf-8"?>
<sst xmlns="http://schemas.openxmlformats.org/spreadsheetml/2006/main" count="238" uniqueCount="209">
  <si>
    <t>Inputs — yellow cells are editable</t>
  </si>
  <si>
    <t>Change any yellow cell; every other sheet recalculates.</t>
  </si>
  <si>
    <t>Group</t>
  </si>
  <si>
    <t>Head placed</t>
  </si>
  <si>
    <t>head</t>
  </si>
  <si>
    <t>Placement date</t>
  </si>
  <si>
    <t>date</t>
  </si>
  <si>
    <t>Weaned pig weight</t>
  </si>
  <si>
    <t>lb</t>
  </si>
  <si>
    <t>Mortality (wean to market)</t>
  </si>
  <si>
    <t>%</t>
  </si>
  <si>
    <t>Feed eaten by a dead pig (share of full budget)</t>
  </si>
  <si>
    <t>0-1</t>
  </si>
  <si>
    <t>Most death loss is early, so deads eat little</t>
  </si>
  <si>
    <t>Carcass yield</t>
  </si>
  <si>
    <t>Hot carcass / live</t>
  </si>
  <si>
    <t>Feeding location</t>
  </si>
  <si>
    <t>Northwest Iowa</t>
  </si>
  <si>
    <t>Pick from list; prices come from the Locations sheet</t>
  </si>
  <si>
    <t>Weaned pig</t>
  </si>
  <si>
    <t>Weaned pig price source</t>
  </si>
  <si>
    <t>USDA cash (open market)</t>
  </si>
  <si>
    <t>USDA cash = open market; 2,400+ head lots if reported, else the largest lot</t>
  </si>
  <si>
    <t>USDA weaned pig cash price</t>
  </si>
  <si>
    <t>$/head</t>
  </si>
  <si>
    <t>USDA AMS National Direct Feeder Pig Report (weekly, report 2810), early weaned</t>
  </si>
  <si>
    <t>USDA weaned pig formula price</t>
  </si>
  <si>
    <t>Same report, formula purchases</t>
  </si>
  <si>
    <t>Manual weaned pig price</t>
  </si>
  <si>
    <t>Weaned pig freight</t>
  </si>
  <si>
    <t>Feed prices</t>
  </si>
  <si>
    <t>CBOT corn futures</t>
  </si>
  <si>
    <t>$/bu</t>
  </si>
  <si>
    <t>CBOT soybean meal futures</t>
  </si>
  <si>
    <t>$/ton</t>
  </si>
  <si>
    <t>Feed mill grind/mix/delivery</t>
  </si>
  <si>
    <t>Barn, labor and other</t>
  </si>
  <si>
    <t>Barn cost method</t>
  </si>
  <si>
    <t>$/space/year</t>
  </si>
  <si>
    <t>Barn downtime between groups</t>
  </si>
  <si>
    <t>days</t>
  </si>
  <si>
    <t>Wash/dry/fill. Barn days = last marketing day + downtime</t>
  </si>
  <si>
    <t>Barn cost if $/pig placed</t>
  </si>
  <si>
    <t>$/pig</t>
  </si>
  <si>
    <t>Labor cost method</t>
  </si>
  <si>
    <t>hours x wage</t>
  </si>
  <si>
    <t>Labor hours per pig placed</t>
  </si>
  <si>
    <t>hr/pig</t>
  </si>
  <si>
    <t>Wage comes from the Locations sheet</t>
  </si>
  <si>
    <t>Labor cost if $/pig placed</t>
  </si>
  <si>
    <t>Vet / med / vaccine</t>
  </si>
  <si>
    <t>$/head placed</t>
  </si>
  <si>
    <t>Utilities / fuel</t>
  </si>
  <si>
    <t>Trucking to market</t>
  </si>
  <si>
    <t>$/head sold</t>
  </si>
  <si>
    <t>Insurance / misc</t>
  </si>
  <si>
    <t>Operating interest rate</t>
  </si>
  <si>
    <t>%/yr</t>
  </si>
  <si>
    <t>On pig cost + half of feed, for the feeding period</t>
  </si>
  <si>
    <t>Revenue</t>
  </si>
  <si>
    <t>Carcass merit premium</t>
  </si>
  <si>
    <t>$/cwt carcass</t>
  </si>
  <si>
    <t>Pork checkoff</t>
  </si>
  <si>
    <t>% of gross</t>
  </si>
  <si>
    <t>From selected location (edit on Locations sheet)</t>
  </si>
  <si>
    <t>Location row</t>
  </si>
  <si>
    <t>Corn basis</t>
  </si>
  <si>
    <t>Soybean meal basis</t>
  </si>
  <si>
    <t>DDGS price</t>
  </si>
  <si>
    <t>Barn rent $/space/year</t>
  </si>
  <si>
    <t>Labor wage $/hr</t>
  </si>
  <si>
    <t>Corn cash price (futures + basis)</t>
  </si>
  <si>
    <t>Soybean meal cash price (futures + basis)</t>
  </si>
  <si>
    <t>Weaned pig price used</t>
  </si>
  <si>
    <t>Head sold</t>
  </si>
  <si>
    <t>Barn days occupied</t>
  </si>
  <si>
    <t>Full-feed-budget pig equivalents</t>
  </si>
  <si>
    <t>Location</t>
  </si>
  <si>
    <t>State</t>
  </si>
  <si>
    <t>Corn basis $/bu</t>
  </si>
  <si>
    <t>SBM basis $/ton</t>
  </si>
  <si>
    <t>DDGS $/ton</t>
  </si>
  <si>
    <t>Barn rent $/space/yr</t>
  </si>
  <si>
    <t>Source / notes</t>
  </si>
  <si>
    <t>Central Illinois</t>
  </si>
  <si>
    <t>IL</t>
  </si>
  <si>
    <t>IL SBM FOB avg $378.06 (AMS 3668 Oct 8 2026) +$20 truck. DDGS: AMS 3618 IL $202.50 (Oct 5 2026). Basis [ESTIMATE]</t>
  </si>
  <si>
    <t>Central Indiana</t>
  </si>
  <si>
    <t>IN</t>
  </si>
  <si>
    <t>SBM: Bunge Decatur IN +$10-20 over Dec ZM (Oct 17 2026) +$20 truck. DDGS: AMS 3618 IN $187.88 (Oct 5 2026). Basis [ESTIMATE]</t>
  </si>
  <si>
    <t>Central Iowa</t>
  </si>
  <si>
    <t>IA</t>
  </si>
  <si>
    <t>Processor demand near Des Moines [ESTIMATE]. DDGS: AMS 3618 IA (Oct 5 2026). Barn/wage [VERIFY]</t>
  </si>
  <si>
    <t>Central South Dakota</t>
  </si>
  <si>
    <t>SD</t>
  </si>
  <si>
    <t>Corn basis: far from processors/rail [ESTIMATE]. SBM: +15 FOB +$20 truck [ESTIMATE]. DDGS: AMS 3618 SD $195.00 (Oct 5 2026). Barn [VERIFY]. Wage: NASS Northern Plains $17.51 (Oct 2024) [VERIFY]</t>
  </si>
  <si>
    <t>Eastern South Dakota (Sioux Falls)</t>
  </si>
  <si>
    <t>[ESTIMATE] basis. DDGS: AMS 3618 SD (Oct 5 2026). Wage: NASS Northern Plains (Oct 2024) [VERIFY]</t>
  </si>
  <si>
    <t>Northeast Iowa</t>
  </si>
  <si>
    <t>Corn basis weaker than NW IA in Aug 2026 AMS 2850 [ESTIMATE]. DDGS: AMS 3618 IA (Oct 5 2026). Barn/wage [VERIFY]</t>
  </si>
  <si>
    <t>Northeast Nebraska</t>
  </si>
  <si>
    <t>NE</t>
  </si>
  <si>
    <t>NE cash $4.27-5.18 (Oct 13 2026) [ESTIMATE]. DDGS: AMS 3618 NE $207.50 (Oct 5 2026). Wage: NASS Northern Plains [VERIFY]</t>
  </si>
  <si>
    <t>Northern Missouri</t>
  </si>
  <si>
    <t>MO</t>
  </si>
  <si>
    <t>No MO DDGS series found; all values [ESTIMATE]</t>
  </si>
  <si>
    <t>Corn basis: NW IA co-op Dec bids -37/-39 (Oct 7 2026) [ESTIMATE]. SBM: IA FOB avg $366.75 (AMS 3668 Oct 8 2026) = ~+10 over Dec ZM, +$20 truck to farm [ESTIMATE]. DDGS: AMS 3618 IA $179.79 (Oct 5 2026). Barn: $30-40/space/yr extension range, rising build cost [VERIFY]. Wage: NASS US livestock $18.15 (Apr 2025) [VERIFY regional]</t>
  </si>
  <si>
    <t>Southern Minnesota</t>
  </si>
  <si>
    <t>MN</t>
  </si>
  <si>
    <t>S. MN cash $4.18-4.36 (Oct 13 2026) [ESTIMATE]. DDGS: AMS 3618 MN (Oct 5 2026). Barn/wage [VERIFY]</t>
  </si>
  <si>
    <t>Southwest Iowa</t>
  </si>
  <si>
    <t>Council Bluffs processors [ESTIMATE]. DDGS: AMS 3618 IA (Oct 5 2026). Barn/wage [VERIFY]</t>
  </si>
  <si>
    <t>Southwest Minnesota</t>
  </si>
  <si>
    <t>Corn basis: S. MN cash $4.18-4.36 (Oct 13 2026) vs Dec [ESTIMATE]. SBM: MN FOB avg $359.79 (AMS 3668 Oct 8 2026) +$20 truck [ESTIMATE]. DDGS: AMS 3618 MN $186.25 (Oct 5 2026). Barn [VERIFY]. Wage: NASS US $18.15 [VERIFY regional]</t>
  </si>
  <si>
    <t>Add a location in any empty yellow row; it appears in the Inputs location dropdown.</t>
  </si>
  <si>
    <t>Phase</t>
  </si>
  <si>
    <t>Feed lb/pig</t>
  </si>
  <si>
    <t>Corn %</t>
  </si>
  <si>
    <t>SBM %</t>
  </si>
  <si>
    <t>DDGS %</t>
  </si>
  <si>
    <t>Other %</t>
  </si>
  <si>
    <t>Other $/ton</t>
  </si>
  <si>
    <t>Tons</t>
  </si>
  <si>
    <t>Corn bu</t>
  </si>
  <si>
    <t>SBM tons</t>
  </si>
  <si>
    <t>DDGS tons</t>
  </si>
  <si>
    <t>Other tons</t>
  </si>
  <si>
    <t>Cost $</t>
  </si>
  <si>
    <t>Nursery 1 (12-25 lb)</t>
  </si>
  <si>
    <t>Nursery 2 (25-50 lb)</t>
  </si>
  <si>
    <t>Grower 1 (50-100 lb)</t>
  </si>
  <si>
    <t>Grower 2 (100-160 lb)</t>
  </si>
  <si>
    <t>Finisher 1 (160-220 lb)</t>
  </si>
  <si>
    <t>Finisher 2 (220-285 lb)</t>
  </si>
  <si>
    <t>Total</t>
  </si>
  <si>
    <t>Other % = premix, fat, amino acids, minerals; priced by the Other $/ton column. Feed lb/pig is per pig marketed.</t>
  </si>
  <si>
    <t>Lean hog futures curve</t>
  </si>
  <si>
    <t>Contract</t>
  </si>
  <si>
    <t>2026-12</t>
  </si>
  <si>
    <t>2027-02</t>
  </si>
  <si>
    <t>2027-04</t>
  </si>
  <si>
    <t>Avg hog basis (CME Index − nearby futures)</t>
  </si>
  <si>
    <t>Period</t>
  </si>
  <si>
    <t>Half-month</t>
  </si>
  <si>
    <t>Jan 1-14</t>
  </si>
  <si>
    <t>Jan 15-end</t>
  </si>
  <si>
    <t>Feb 1-14</t>
  </si>
  <si>
    <t>Feb 15-end</t>
  </si>
  <si>
    <t>Mar 1-14</t>
  </si>
  <si>
    <t>Mar 15-end</t>
  </si>
  <si>
    <t>Apr 1-14</t>
  </si>
  <si>
    <t>Apr 15-end</t>
  </si>
  <si>
    <t>May 1-14</t>
  </si>
  <si>
    <t>May 15-end</t>
  </si>
  <si>
    <t>Jun 1-14</t>
  </si>
  <si>
    <t>Jun 15-end</t>
  </si>
  <si>
    <t>Jul 1-14</t>
  </si>
  <si>
    <t>Jul 15-end</t>
  </si>
  <si>
    <t>Aug 1-14</t>
  </si>
  <si>
    <t>Aug 15-end</t>
  </si>
  <si>
    <t>Sep 1-14</t>
  </si>
  <si>
    <t>Sep 15-end</t>
  </si>
  <si>
    <t>Oct 1-14</t>
  </si>
  <si>
    <t>Oct 15-end</t>
  </si>
  <si>
    <t>Nov 1-14</t>
  </si>
  <si>
    <t>Nov 15-end</t>
  </si>
  <si>
    <t>Dec 1-14</t>
  </si>
  <si>
    <t>Dec 15-end</t>
  </si>
  <si>
    <t>Days after placement</t>
  </si>
  <si>
    <t>% of marketed</t>
  </si>
  <si>
    <t>Live wt lb</t>
  </si>
  <si>
    <t>Sale date</t>
  </si>
  <si>
    <t>Basis period</t>
  </si>
  <si>
    <t>Futures $/cwt</t>
  </si>
  <si>
    <t>Basis $/cwt</t>
  </si>
  <si>
    <t>Premium $/cwt</t>
  </si>
  <si>
    <t>Price $/cwt carcass</t>
  </si>
  <si>
    <t>Head</t>
  </si>
  <si>
    <t>Carcass lb</t>
  </si>
  <si>
    <t>Revenue $</t>
  </si>
  <si>
    <t>% of marketed must total 100. Contract: days 1-14 of a contract month (Feb Apr May Jun Jul Aug Oct Dec) use that month; otherwise the next contract (ISU B2-41).</t>
  </si>
  <si>
    <t>Cost line</t>
  </si>
  <si>
    <t>Total $</t>
  </si>
  <si>
    <t>% of total</t>
  </si>
  <si>
    <t>Weaned pigs</t>
  </si>
  <si>
    <t>Feed</t>
  </si>
  <si>
    <t>Barn / facilities</t>
  </si>
  <si>
    <t>Labor</t>
  </si>
  <si>
    <t>Vet / med</t>
  </si>
  <si>
    <t>Utilities</t>
  </si>
  <si>
    <t>Interest</t>
  </si>
  <si>
    <t>Checkoff</t>
  </si>
  <si>
    <t>Total cost</t>
  </si>
  <si>
    <t>Wean-to-Finish Group Projection</t>
  </si>
  <si>
    <t>Net profit (group)</t>
  </si>
  <si>
    <t>Net $/head sold</t>
  </si>
  <si>
    <t>Total revenue</t>
  </si>
  <si>
    <t>Revenue $/head sold</t>
  </si>
  <si>
    <t>Cost $/head sold</t>
  </si>
  <si>
    <t>Breakeven $/cwt carcass</t>
  </si>
  <si>
    <t>Breakeven $/cwt live</t>
  </si>
  <si>
    <t>Avg sale price $/cwt carcass</t>
  </si>
  <si>
    <t>Cost $/cwt carcass</t>
  </si>
  <si>
    <t>Feed conversion (lb feed / lb gain)</t>
  </si>
  <si>
    <t>Key prices</t>
  </si>
  <si>
    <t>Corn cash $/bu (futures + basis)</t>
  </si>
  <si>
    <t>Soybean meal cash $/ton</t>
  </si>
  <si>
    <t>Soybean meal basis $/ton</t>
  </si>
  <si>
    <t>Weaned pig $/head</t>
  </si>
</sst>
</file>

<file path=xl/styles.xml><?xml version="1.0" encoding="utf-8"?>
<styleSheet xmlns="http://schemas.openxmlformats.org/spreadsheetml/2006/main">
  <numFmts count="8">
    <numFmt numFmtId="164" formatCode="$#,##0"/>
    <numFmt numFmtId="165" formatCode="$#,##0.00"/>
    <numFmt numFmtId="166" formatCode="#,##0"/>
    <numFmt numFmtId="167" formatCode="#,##0.00"/>
    <numFmt numFmtId="168" formatCode="yyyy-mm-dd"/>
    <numFmt numFmtId="169" formatCode="0.00"/>
    <numFmt numFmtId="170" formatCode="@"/>
    <numFmt numFmtId="171" formatCode="0.0%"/>
  </numFmts>
  <fonts count="6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2" xfId="0" applyFont="1" applyBorder="1"/>
    <xf numFmtId="0" fontId="0" fillId="0" borderId="0" xfId="0"/>
    <xf numFmtId="166" fontId="0" fillId="3" borderId="3" xfId="0" applyNumberFormat="1" applyFill="1" applyBorder="1"/>
    <xf numFmtId="168" fontId="0" fillId="3" borderId="3" xfId="0" applyNumberFormat="1" applyFill="1" applyBorder="1"/>
    <xf numFmtId="167" fontId="0" fillId="3" borderId="3" xfId="0" applyNumberFormat="1" applyFill="1" applyBorder="1"/>
    <xf numFmtId="169" fontId="0" fillId="3" borderId="3" xfId="0" applyNumberFormat="1" applyFill="1" applyBorder="1"/>
    <xf numFmtId="170" fontId="0" fillId="3" borderId="3" xfId="0" applyNumberFormat="1" applyFill="1" applyBorder="1"/>
    <xf numFmtId="0" fontId="5" fillId="4" borderId="0" xfId="0" applyFont="1" applyFill="1"/>
    <xf numFmtId="164" fontId="3" fillId="0" borderId="4" xfId="0" applyNumberFormat="1" applyFont="1" applyBorder="1"/>
    <xf numFmtId="168" fontId="0" fillId="0" borderId="0" xfId="0" applyNumberFormat="1"/>
    <xf numFmtId="171" fontId="0" fillId="0" borderId="0" xfId="0" applyNumberFormat="1"/>
    <xf numFmtId="165" fontId="3" fillId="0" borderId="4" xfId="0" applyNumberFormat="1" applyFont="1" applyBorder="1"/>
  </cellXfs>
  <cellStyles count="1">
    <cellStyle name="Normal" xfId="0" builtinId="0"/>
  </cellStyles>
  <dxfs count="1">
    <dxf>
      <fill>
        <patternFill>
          <bgColor rgb="FFF8CBA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per head sold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Cost $/head sold</c:v>
          </c:tx>
          <c:spPr>
            <a:solidFill>
              <a:srgbClr val="2F5597"/>
            </a:solidFill>
          </c:spPr>
          <c:dLbls>
            <c:numFmt formatCode="$#,##0.00" sourceLinked="0"/>
            <c:showVal val="1"/>
          </c:dLbls>
          <c:cat>
            <c:strRef>
              <c:f>Costs!$A$2:$A$11</c:f>
              <c:strCache>
                <c:ptCount val="10"/>
                <c:pt idx="0">
                  <c:v>Weaned pigs</c:v>
                </c:pt>
                <c:pt idx="1">
                  <c:v>Feed</c:v>
                </c:pt>
                <c:pt idx="2">
                  <c:v>Barn / facilities</c:v>
                </c:pt>
                <c:pt idx="3">
                  <c:v>Labor</c:v>
                </c:pt>
                <c:pt idx="4">
                  <c:v>Vet / med</c:v>
                </c:pt>
                <c:pt idx="5">
                  <c:v>Utilities</c:v>
                </c:pt>
                <c:pt idx="6">
                  <c:v>Trucking to market</c:v>
                </c:pt>
                <c:pt idx="7">
                  <c:v>Insurance / misc</c:v>
                </c:pt>
                <c:pt idx="8">
                  <c:v>Interest</c:v>
                </c:pt>
                <c:pt idx="9">
                  <c:v>Checkoff</c:v>
                </c:pt>
              </c:strCache>
            </c:strRef>
          </c:cat>
          <c:val>
            <c:numRef>
              <c:f>Costs!$D$2:$D$11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9</xdr:col>
      <xdr:colOff>514350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F17"/>
  <sheetViews>
    <sheetView tabSelected="1" workbookViewId="0"/>
  </sheetViews>
  <sheetFormatPr defaultRowHeight="15"/>
  <cols>
    <col min="1" max="1" width="3.7109375" customWidth="1"/>
    <col min="2" max="2" width="34.7109375" customWidth="1"/>
    <col min="3" max="3" width="18.7109375" customWidth="1"/>
    <col min="4" max="4" width="3.7109375" customWidth="1"/>
    <col min="5" max="5" width="34.7109375" customWidth="1"/>
    <col min="6" max="6" width="18.7109375" customWidth="1"/>
  </cols>
  <sheetData>
    <row r="1" spans="2:6">
      <c r="B1" s="1" t="s">
        <v>193</v>
      </c>
    </row>
    <row r="2" spans="2:6">
      <c r="B2" s="2">
        <f>"Location: "&amp;Location&amp;"   |   Placed: "&amp;TEXT(PlacementDate,"mmm d, yyyy")&amp;"   |   Head placed: "&amp;TEXT(HeadPlaced,"#,##0")</f>
        <v>0</v>
      </c>
    </row>
    <row r="4" spans="2:6">
      <c r="B4" s="3" t="s">
        <v>194</v>
      </c>
      <c r="C4" s="4">
        <f>GrossRevenue-TotalCost</f>
        <v>0</v>
      </c>
      <c r="E4" s="3" t="s">
        <v>199</v>
      </c>
      <c r="F4" s="5">
        <f>(TotalCost-CheckoffCost)/(CarcassCwt*(1-CheckoffPct/100))</f>
        <v>0</v>
      </c>
    </row>
    <row r="5" spans="2:6">
      <c r="B5" s="3" t="s">
        <v>195</v>
      </c>
      <c r="C5" s="5">
        <f>(GrossRevenue-TotalCost)/HeadSold</f>
        <v>0</v>
      </c>
      <c r="E5" s="3" t="s">
        <v>200</v>
      </c>
      <c r="F5" s="5">
        <f>F4*YieldPct/100</f>
        <v>0</v>
      </c>
    </row>
    <row r="6" spans="2:6">
      <c r="B6" s="3" t="s">
        <v>196</v>
      </c>
      <c r="C6" s="4">
        <f>GrossRevenue</f>
        <v>0</v>
      </c>
      <c r="E6" s="3" t="s">
        <v>201</v>
      </c>
      <c r="F6" s="5">
        <f>GrossRevenue/CarcassCwt</f>
        <v>0</v>
      </c>
    </row>
    <row r="7" spans="2:6">
      <c r="B7" s="3" t="s">
        <v>192</v>
      </c>
      <c r="C7" s="4">
        <f>TotalCost</f>
        <v>0</v>
      </c>
      <c r="E7" s="3" t="s">
        <v>202</v>
      </c>
      <c r="F7" s="5">
        <f>TotalCost/CarcassCwt</f>
        <v>0</v>
      </c>
    </row>
    <row r="8" spans="2:6">
      <c r="B8" s="3" t="s">
        <v>197</v>
      </c>
      <c r="C8" s="5">
        <f>GrossRevenue/HeadSold</f>
        <v>0</v>
      </c>
      <c r="E8" s="3" t="s">
        <v>74</v>
      </c>
      <c r="F8" s="6">
        <f>HeadSold</f>
        <v>0</v>
      </c>
    </row>
    <row r="9" spans="2:6">
      <c r="B9" s="3" t="s">
        <v>198</v>
      </c>
      <c r="C9" s="5">
        <f>TotalCost/HeadSold</f>
        <v>0</v>
      </c>
      <c r="E9" s="3" t="s">
        <v>203</v>
      </c>
      <c r="F9" s="7">
        <f>IF(LiveCwt*100-HeadPlaced*WeanWeight&lt;=0,"n/a",FeedTons*2000/(LiveCwt*100-HeadPlaced*WeanWeight))</f>
        <v>0</v>
      </c>
    </row>
    <row r="11" spans="2:6">
      <c r="B11" s="8" t="s">
        <v>204</v>
      </c>
    </row>
    <row r="12" spans="2:6">
      <c r="B12" s="9" t="s">
        <v>205</v>
      </c>
      <c r="C12" s="5">
        <f>CornCash</f>
        <v>0</v>
      </c>
    </row>
    <row r="13" spans="2:6">
      <c r="B13" s="9" t="s">
        <v>79</v>
      </c>
      <c r="C13" s="5">
        <f>CornBasis</f>
        <v>0</v>
      </c>
    </row>
    <row r="14" spans="2:6">
      <c r="B14" s="9" t="s">
        <v>206</v>
      </c>
      <c r="C14" s="5">
        <f>SbmCash</f>
        <v>0</v>
      </c>
    </row>
    <row r="15" spans="2:6">
      <c r="B15" s="9" t="s">
        <v>207</v>
      </c>
      <c r="C15" s="5">
        <f>SbmBasis</f>
        <v>0</v>
      </c>
    </row>
    <row r="16" spans="2:6">
      <c r="B16" s="9" t="s">
        <v>81</v>
      </c>
      <c r="C16" s="5">
        <f>DdgsPrice</f>
        <v>0</v>
      </c>
    </row>
    <row r="17" spans="2:3">
      <c r="B17" s="9" t="s">
        <v>208</v>
      </c>
      <c r="C17" s="5">
        <f>WeanPrice</f>
        <v>0</v>
      </c>
    </row>
  </sheetData>
  <pageMargins left="0.7" right="0.7" top="0.75" bottom="0.75" header="0.3" footer="0.3"/>
  <pageSetup paperSize="1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E55"/>
  <sheetViews>
    <sheetView workbookViewId="0"/>
  </sheetViews>
  <sheetFormatPr defaultRowHeight="15"/>
  <cols>
    <col min="1" max="1" width="3.7109375" customWidth="1"/>
    <col min="2" max="2" width="44.7109375" customWidth="1"/>
    <col min="3" max="3" width="22.7109375" customWidth="1"/>
    <col min="4" max="4" width="18.7109375" customWidth="1"/>
    <col min="5" max="5" width="70.7109375" customWidth="1"/>
  </cols>
  <sheetData>
    <row r="1" spans="2:5">
      <c r="B1" s="1" t="s">
        <v>0</v>
      </c>
    </row>
    <row r="2" spans="2:5">
      <c r="B2" s="2" t="s">
        <v>1</v>
      </c>
    </row>
    <row r="5" spans="2:5">
      <c r="B5" s="8" t="s">
        <v>2</v>
      </c>
    </row>
    <row r="6" spans="2:5">
      <c r="B6" s="9" t="s">
        <v>3</v>
      </c>
      <c r="C6" s="10">
        <v>2400</v>
      </c>
      <c r="D6" s="2" t="s">
        <v>4</v>
      </c>
      <c r="E6" s="2"/>
    </row>
    <row r="7" spans="2:5">
      <c r="B7" s="9" t="s">
        <v>5</v>
      </c>
      <c r="C7" s="11">
        <v>46314</v>
      </c>
      <c r="D7" s="2" t="s">
        <v>6</v>
      </c>
      <c r="E7" s="2"/>
    </row>
    <row r="8" spans="2:5">
      <c r="B8" s="9" t="s">
        <v>7</v>
      </c>
      <c r="C8" s="12">
        <v>12</v>
      </c>
      <c r="D8" s="2" t="s">
        <v>8</v>
      </c>
      <c r="E8" s="2"/>
    </row>
    <row r="9" spans="2:5">
      <c r="B9" s="9" t="s">
        <v>9</v>
      </c>
      <c r="C9" s="13">
        <v>6.8</v>
      </c>
      <c r="D9" s="2" t="s">
        <v>10</v>
      </c>
      <c r="E9" s="2"/>
    </row>
    <row r="10" spans="2:5">
      <c r="B10" s="9" t="s">
        <v>11</v>
      </c>
      <c r="C10" s="12">
        <v>0.25</v>
      </c>
      <c r="D10" s="2" t="s">
        <v>12</v>
      </c>
      <c r="E10" s="2" t="s">
        <v>13</v>
      </c>
    </row>
    <row r="11" spans="2:5">
      <c r="B11" s="9" t="s">
        <v>14</v>
      </c>
      <c r="C11" s="13">
        <v>75</v>
      </c>
      <c r="D11" s="2" t="s">
        <v>10</v>
      </c>
      <c r="E11" s="2" t="s">
        <v>15</v>
      </c>
    </row>
    <row r="12" spans="2:5">
      <c r="B12" s="9" t="s">
        <v>16</v>
      </c>
      <c r="C12" s="14" t="s">
        <v>17</v>
      </c>
      <c r="D12" s="2"/>
      <c r="E12" s="2" t="s">
        <v>18</v>
      </c>
    </row>
    <row r="14" spans="2:5">
      <c r="B14" s="8" t="s">
        <v>19</v>
      </c>
    </row>
    <row r="15" spans="2:5">
      <c r="B15" s="9" t="s">
        <v>20</v>
      </c>
      <c r="C15" s="14" t="s">
        <v>21</v>
      </c>
      <c r="D15" s="2"/>
      <c r="E15" s="2" t="s">
        <v>22</v>
      </c>
    </row>
    <row r="16" spans="2:5">
      <c r="B16" s="9" t="s">
        <v>23</v>
      </c>
      <c r="C16" s="12">
        <v>24.81</v>
      </c>
      <c r="D16" s="2" t="s">
        <v>24</v>
      </c>
      <c r="E16" s="2" t="s">
        <v>25</v>
      </c>
    </row>
    <row r="17" spans="2:5">
      <c r="B17" s="9" t="s">
        <v>26</v>
      </c>
      <c r="C17" s="12">
        <v>24.81</v>
      </c>
      <c r="D17" s="2" t="s">
        <v>24</v>
      </c>
      <c r="E17" s="2" t="s">
        <v>27</v>
      </c>
    </row>
    <row r="18" spans="2:5">
      <c r="B18" s="9" t="s">
        <v>28</v>
      </c>
      <c r="C18" s="12">
        <v>24.81</v>
      </c>
      <c r="D18" s="2" t="s">
        <v>24</v>
      </c>
      <c r="E18" s="2"/>
    </row>
    <row r="19" spans="2:5">
      <c r="B19" s="9" t="s">
        <v>29</v>
      </c>
      <c r="C19" s="12">
        <v>1</v>
      </c>
      <c r="D19" s="2" t="s">
        <v>24</v>
      </c>
      <c r="E19" s="2"/>
    </row>
    <row r="21" spans="2:5">
      <c r="B21" s="8" t="s">
        <v>30</v>
      </c>
    </row>
    <row r="22" spans="2:5">
      <c r="B22" s="9" t="s">
        <v>31</v>
      </c>
      <c r="C22" s="12">
        <v>4.7425</v>
      </c>
      <c r="D22" s="2" t="s">
        <v>32</v>
      </c>
      <c r="E22" s="2"/>
    </row>
    <row r="23" spans="2:5">
      <c r="B23" s="9" t="s">
        <v>33</v>
      </c>
      <c r="C23" s="12">
        <v>357.1</v>
      </c>
      <c r="D23" s="2" t="s">
        <v>34</v>
      </c>
      <c r="E23" s="2"/>
    </row>
    <row r="24" spans="2:5">
      <c r="B24" s="9" t="s">
        <v>35</v>
      </c>
      <c r="C24" s="12">
        <v>15</v>
      </c>
      <c r="D24" s="2" t="s">
        <v>34</v>
      </c>
      <c r="E24" s="2"/>
    </row>
    <row r="26" spans="2:5">
      <c r="B26" s="8" t="s">
        <v>36</v>
      </c>
    </row>
    <row r="27" spans="2:5">
      <c r="B27" s="9" t="s">
        <v>37</v>
      </c>
      <c r="C27" s="14" t="s">
        <v>38</v>
      </c>
      <c r="D27" s="2"/>
      <c r="E27" s="2"/>
    </row>
    <row r="28" spans="2:5">
      <c r="B28" s="9" t="s">
        <v>39</v>
      </c>
      <c r="C28" s="10">
        <v>10</v>
      </c>
      <c r="D28" s="2" t="s">
        <v>40</v>
      </c>
      <c r="E28" s="2" t="s">
        <v>41</v>
      </c>
    </row>
    <row r="29" spans="2:5">
      <c r="B29" s="9" t="s">
        <v>42</v>
      </c>
      <c r="C29" s="12">
        <v>0</v>
      </c>
      <c r="D29" s="2" t="s">
        <v>43</v>
      </c>
      <c r="E29" s="2"/>
    </row>
    <row r="30" spans="2:5">
      <c r="B30" s="9" t="s">
        <v>44</v>
      </c>
      <c r="C30" s="14" t="s">
        <v>45</v>
      </c>
      <c r="D30" s="2"/>
      <c r="E30" s="2"/>
    </row>
    <row r="31" spans="2:5">
      <c r="B31" s="9" t="s">
        <v>46</v>
      </c>
      <c r="C31" s="12">
        <v>0.2</v>
      </c>
      <c r="D31" s="2" t="s">
        <v>47</v>
      </c>
      <c r="E31" s="2" t="s">
        <v>48</v>
      </c>
    </row>
    <row r="32" spans="2:5">
      <c r="B32" s="9" t="s">
        <v>49</v>
      </c>
      <c r="C32" s="12">
        <v>0</v>
      </c>
      <c r="D32" s="2" t="s">
        <v>43</v>
      </c>
      <c r="E32" s="2"/>
    </row>
    <row r="33" spans="2:5">
      <c r="B33" s="9" t="s">
        <v>50</v>
      </c>
      <c r="C33" s="12">
        <v>5</v>
      </c>
      <c r="D33" s="2" t="s">
        <v>51</v>
      </c>
      <c r="E33" s="2"/>
    </row>
    <row r="34" spans="2:5">
      <c r="B34" s="9" t="s">
        <v>52</v>
      </c>
      <c r="C34" s="12">
        <v>4</v>
      </c>
      <c r="D34" s="2" t="s">
        <v>51</v>
      </c>
      <c r="E34" s="2"/>
    </row>
    <row r="35" spans="2:5">
      <c r="B35" s="9" t="s">
        <v>53</v>
      </c>
      <c r="C35" s="12">
        <v>4</v>
      </c>
      <c r="D35" s="2" t="s">
        <v>54</v>
      </c>
      <c r="E35" s="2"/>
    </row>
    <row r="36" spans="2:5">
      <c r="B36" s="9" t="s">
        <v>55</v>
      </c>
      <c r="C36" s="12">
        <v>0.5</v>
      </c>
      <c r="D36" s="2" t="s">
        <v>51</v>
      </c>
      <c r="E36" s="2"/>
    </row>
    <row r="37" spans="2:5">
      <c r="B37" s="9" t="s">
        <v>56</v>
      </c>
      <c r="C37" s="13">
        <v>7.12</v>
      </c>
      <c r="D37" s="2" t="s">
        <v>57</v>
      </c>
      <c r="E37" s="2" t="s">
        <v>58</v>
      </c>
    </row>
    <row r="39" spans="2:5">
      <c r="B39" s="8" t="s">
        <v>59</v>
      </c>
    </row>
    <row r="40" spans="2:5">
      <c r="B40" s="9" t="s">
        <v>60</v>
      </c>
      <c r="C40" s="12">
        <v>1.5</v>
      </c>
      <c r="D40" s="2" t="s">
        <v>61</v>
      </c>
      <c r="E40" s="2"/>
    </row>
    <row r="41" spans="2:5">
      <c r="B41" s="9" t="s">
        <v>62</v>
      </c>
      <c r="C41" s="13">
        <v>0.35</v>
      </c>
      <c r="D41" s="2" t="s">
        <v>63</v>
      </c>
      <c r="E41" s="2"/>
    </row>
    <row r="43" spans="2:5">
      <c r="B43" s="8" t="s">
        <v>64</v>
      </c>
    </row>
    <row r="44" spans="2:5">
      <c r="B44" s="9" t="s">
        <v>65</v>
      </c>
      <c r="C44" s="6">
        <f>MATCH(Location,Locations!$A$2:$A$61,0)</f>
        <v>0</v>
      </c>
    </row>
    <row r="45" spans="2:5">
      <c r="B45" s="9" t="s">
        <v>66</v>
      </c>
      <c r="C45" s="7">
        <f>INDEX(Locations!$C$2:$C$61,LocRow)</f>
        <v>0</v>
      </c>
    </row>
    <row r="46" spans="2:5">
      <c r="B46" s="9" t="s">
        <v>67</v>
      </c>
      <c r="C46" s="7">
        <f>INDEX(Locations!$D$2:$D$61,LocRow)</f>
        <v>0</v>
      </c>
    </row>
    <row r="47" spans="2:5">
      <c r="B47" s="9" t="s">
        <v>68</v>
      </c>
      <c r="C47" s="7">
        <f>INDEX(Locations!$E$2:$E$61,LocRow)</f>
        <v>0</v>
      </c>
    </row>
    <row r="48" spans="2:5">
      <c r="B48" s="9" t="s">
        <v>69</v>
      </c>
      <c r="C48" s="7">
        <f>INDEX(Locations!$F$2:$F$61,LocRow)</f>
        <v>0</v>
      </c>
    </row>
    <row r="49" spans="2:3">
      <c r="B49" s="9" t="s">
        <v>70</v>
      </c>
      <c r="C49" s="7">
        <f>INDEX(Locations!$G$2:$G$61,LocRow)</f>
        <v>0</v>
      </c>
    </row>
    <row r="50" spans="2:3">
      <c r="B50" s="9" t="s">
        <v>71</v>
      </c>
      <c r="C50" s="7">
        <f>CornFutures+CornBasis</f>
        <v>0</v>
      </c>
    </row>
    <row r="51" spans="2:3">
      <c r="B51" s="9" t="s">
        <v>72</v>
      </c>
      <c r="C51" s="7">
        <f>SbmFutures+SbmBasis</f>
        <v>0</v>
      </c>
    </row>
    <row r="52" spans="2:3">
      <c r="B52" s="9" t="s">
        <v>73</v>
      </c>
      <c r="C52" s="7">
        <f>IF(WeanSource="USDA cash (open market)",WeanCash,IF(WeanSource="USDA formula",WeanFormula,WeanManual))</f>
        <v>0</v>
      </c>
    </row>
    <row r="53" spans="2:3">
      <c r="B53" s="9" t="s">
        <v>74</v>
      </c>
      <c r="C53" s="7">
        <f>HeadPlaced*(1-MortalityPct/100)</f>
        <v>0</v>
      </c>
    </row>
    <row r="54" spans="2:3">
      <c r="B54" s="9" t="s">
        <v>75</v>
      </c>
      <c r="C54" s="6">
        <f>MAX(Marketing!$A$2:$A$9)+BarnDowntime</f>
        <v>0</v>
      </c>
    </row>
    <row r="55" spans="2:3">
      <c r="B55" s="9" t="s">
        <v>76</v>
      </c>
      <c r="C55" s="7">
        <f>HeadSold+(HeadPlaced-HeadSold)*DeadFeedShare</f>
        <v>0</v>
      </c>
    </row>
  </sheetData>
  <dataValidations count="4">
    <dataValidation type="list" allowBlank="1" showInputMessage="1" showErrorMessage="1" sqref="C15">
      <formula1>"USDA cash (open market),USDA formula,Manual"</formula1>
    </dataValidation>
    <dataValidation type="list" allowBlank="1" showInputMessage="1" showErrorMessage="1" sqref="C27">
      <formula1>"$/space/year,$/pig placed"</formula1>
    </dataValidation>
    <dataValidation type="list" allowBlank="1" showInputMessage="1" showErrorMessage="1" sqref="C30">
      <formula1>"hours x wage,$/pig placed"</formula1>
    </dataValidation>
    <dataValidation type="list" allowBlank="1" showInputMessage="1" showErrorMessage="1" sqref="C12">
      <formula1>Locations!$A$2:$A$61</formula1>
    </dataValidation>
  </dataValidations>
  <pageMargins left="0.7" right="0.7" top="0.75" bottom="0.75" header="0.3" footer="0.3"/>
  <pageSetup paperSize="1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8.7109375" customWidth="1"/>
    <col min="3" max="4" width="16.7109375" customWidth="1"/>
    <col min="5" max="5" width="12.7109375" customWidth="1"/>
    <col min="6" max="6" width="20.7109375" customWidth="1"/>
    <col min="7" max="7" width="16.7109375" customWidth="1"/>
    <col min="8" max="8" width="80.7109375" customWidth="1"/>
  </cols>
  <sheetData>
    <row r="1" spans="1:8">
      <c r="A1" s="15" t="s">
        <v>77</v>
      </c>
      <c r="B1" s="15" t="s">
        <v>78</v>
      </c>
      <c r="C1" s="15" t="s">
        <v>79</v>
      </c>
      <c r="D1" s="15" t="s">
        <v>80</v>
      </c>
      <c r="E1" s="15" t="s">
        <v>81</v>
      </c>
      <c r="F1" s="15" t="s">
        <v>82</v>
      </c>
      <c r="G1" s="15" t="s">
        <v>70</v>
      </c>
      <c r="H1" s="15" t="s">
        <v>83</v>
      </c>
    </row>
    <row r="2" spans="1:8">
      <c r="A2" s="14" t="s">
        <v>84</v>
      </c>
      <c r="B2" s="14" t="s">
        <v>85</v>
      </c>
      <c r="C2" s="12">
        <v>-0.3</v>
      </c>
      <c r="D2" s="12">
        <v>38</v>
      </c>
      <c r="E2" s="12">
        <v>200</v>
      </c>
      <c r="F2" s="12">
        <v>40</v>
      </c>
      <c r="G2" s="12">
        <v>18.15</v>
      </c>
      <c r="H2" s="14" t="s">
        <v>86</v>
      </c>
    </row>
    <row r="3" spans="1:8">
      <c r="A3" s="14" t="s">
        <v>87</v>
      </c>
      <c r="B3" s="14" t="s">
        <v>88</v>
      </c>
      <c r="C3" s="12">
        <v>-0.3</v>
      </c>
      <c r="D3" s="12">
        <v>35</v>
      </c>
      <c r="E3" s="12">
        <v>188</v>
      </c>
      <c r="F3" s="12">
        <v>40</v>
      </c>
      <c r="G3" s="12">
        <v>18.15</v>
      </c>
      <c r="H3" s="14" t="s">
        <v>89</v>
      </c>
    </row>
    <row r="4" spans="1:8">
      <c r="A4" s="14" t="s">
        <v>90</v>
      </c>
      <c r="B4" s="14" t="s">
        <v>91</v>
      </c>
      <c r="C4" s="12">
        <v>-0.35</v>
      </c>
      <c r="D4" s="12">
        <v>30</v>
      </c>
      <c r="E4" s="12">
        <v>178</v>
      </c>
      <c r="F4" s="12">
        <v>40</v>
      </c>
      <c r="G4" s="12">
        <v>18.15</v>
      </c>
      <c r="H4" s="14" t="s">
        <v>92</v>
      </c>
    </row>
    <row r="5" spans="1:8">
      <c r="A5" s="14" t="s">
        <v>93</v>
      </c>
      <c r="B5" s="14" t="s">
        <v>94</v>
      </c>
      <c r="C5" s="12">
        <v>-0.7</v>
      </c>
      <c r="D5" s="12">
        <v>35</v>
      </c>
      <c r="E5" s="12">
        <v>195</v>
      </c>
      <c r="F5" s="12">
        <v>40</v>
      </c>
      <c r="G5" s="12">
        <v>17.51</v>
      </c>
      <c r="H5" s="14" t="s">
        <v>95</v>
      </c>
    </row>
    <row r="6" spans="1:8">
      <c r="A6" s="14" t="s">
        <v>96</v>
      </c>
      <c r="B6" s="14" t="s">
        <v>94</v>
      </c>
      <c r="C6" s="12">
        <v>-0.5</v>
      </c>
      <c r="D6" s="12">
        <v>30</v>
      </c>
      <c r="E6" s="12">
        <v>195</v>
      </c>
      <c r="F6" s="12">
        <v>40</v>
      </c>
      <c r="G6" s="12">
        <v>17.51</v>
      </c>
      <c r="H6" s="14" t="s">
        <v>97</v>
      </c>
    </row>
    <row r="7" spans="1:8">
      <c r="A7" s="14" t="s">
        <v>98</v>
      </c>
      <c r="B7" s="14" t="s">
        <v>91</v>
      </c>
      <c r="C7" s="12">
        <v>-0.45</v>
      </c>
      <c r="D7" s="12">
        <v>32</v>
      </c>
      <c r="E7" s="12">
        <v>180</v>
      </c>
      <c r="F7" s="12">
        <v>40</v>
      </c>
      <c r="G7" s="12">
        <v>18.15</v>
      </c>
      <c r="H7" s="14" t="s">
        <v>99</v>
      </c>
    </row>
    <row r="8" spans="1:8">
      <c r="A8" s="14" t="s">
        <v>100</v>
      </c>
      <c r="B8" s="14" t="s">
        <v>101</v>
      </c>
      <c r="C8" s="12">
        <v>-0.35</v>
      </c>
      <c r="D8" s="12">
        <v>32</v>
      </c>
      <c r="E8" s="12">
        <v>205</v>
      </c>
      <c r="F8" s="12">
        <v>40</v>
      </c>
      <c r="G8" s="12">
        <v>17.51</v>
      </c>
      <c r="H8" s="14" t="s">
        <v>102</v>
      </c>
    </row>
    <row r="9" spans="1:8">
      <c r="A9" s="14" t="s">
        <v>103</v>
      </c>
      <c r="B9" s="14" t="s">
        <v>104</v>
      </c>
      <c r="C9" s="12">
        <v>-0.5</v>
      </c>
      <c r="D9" s="12">
        <v>40</v>
      </c>
      <c r="E9" s="12">
        <v>195</v>
      </c>
      <c r="F9" s="12">
        <v>40</v>
      </c>
      <c r="G9" s="12">
        <v>18.15</v>
      </c>
      <c r="H9" s="14" t="s">
        <v>105</v>
      </c>
    </row>
    <row r="10" spans="1:8">
      <c r="A10" s="14" t="s">
        <v>17</v>
      </c>
      <c r="B10" s="14" t="s">
        <v>91</v>
      </c>
      <c r="C10" s="12">
        <v>-0.4</v>
      </c>
      <c r="D10" s="12">
        <v>30</v>
      </c>
      <c r="E10" s="12">
        <v>180</v>
      </c>
      <c r="F10" s="12">
        <v>40</v>
      </c>
      <c r="G10" s="12">
        <v>18.15</v>
      </c>
      <c r="H10" s="14" t="s">
        <v>106</v>
      </c>
    </row>
    <row r="11" spans="1:8">
      <c r="A11" s="14" t="s">
        <v>107</v>
      </c>
      <c r="B11" s="14" t="s">
        <v>108</v>
      </c>
      <c r="C11" s="12">
        <v>-0.5</v>
      </c>
      <c r="D11" s="12">
        <v>25</v>
      </c>
      <c r="E11" s="12">
        <v>186</v>
      </c>
      <c r="F11" s="12">
        <v>40</v>
      </c>
      <c r="G11" s="12">
        <v>18.15</v>
      </c>
      <c r="H11" s="14" t="s">
        <v>109</v>
      </c>
    </row>
    <row r="12" spans="1:8">
      <c r="A12" s="14" t="s">
        <v>110</v>
      </c>
      <c r="B12" s="14" t="s">
        <v>91</v>
      </c>
      <c r="C12" s="12">
        <v>-0.38</v>
      </c>
      <c r="D12" s="12">
        <v>32</v>
      </c>
      <c r="E12" s="12">
        <v>182</v>
      </c>
      <c r="F12" s="12">
        <v>40</v>
      </c>
      <c r="G12" s="12">
        <v>18.15</v>
      </c>
      <c r="H12" s="14" t="s">
        <v>111</v>
      </c>
    </row>
    <row r="13" spans="1:8">
      <c r="A13" s="14" t="s">
        <v>112</v>
      </c>
      <c r="B13" s="14" t="s">
        <v>108</v>
      </c>
      <c r="C13" s="12">
        <v>-0.5</v>
      </c>
      <c r="D13" s="12">
        <v>25</v>
      </c>
      <c r="E13" s="12">
        <v>186</v>
      </c>
      <c r="F13" s="12">
        <v>40</v>
      </c>
      <c r="G13" s="12">
        <v>18.15</v>
      </c>
      <c r="H13" s="14" t="s">
        <v>113</v>
      </c>
    </row>
    <row r="14" spans="1:8">
      <c r="A14" s="14"/>
      <c r="B14" s="14"/>
      <c r="C14" s="12"/>
      <c r="D14" s="12"/>
      <c r="E14" s="12"/>
      <c r="F14" s="12"/>
      <c r="G14" s="12"/>
      <c r="H14" s="14"/>
    </row>
    <row r="15" spans="1:8">
      <c r="A15" s="14"/>
      <c r="B15" s="14"/>
      <c r="C15" s="12"/>
      <c r="D15" s="12"/>
      <c r="E15" s="12"/>
      <c r="F15" s="12"/>
      <c r="G15" s="12"/>
      <c r="H15" s="14"/>
    </row>
    <row r="16" spans="1:8">
      <c r="A16" s="14"/>
      <c r="B16" s="14"/>
      <c r="C16" s="12"/>
      <c r="D16" s="12"/>
      <c r="E16" s="12"/>
      <c r="F16" s="12"/>
      <c r="G16" s="12"/>
      <c r="H16" s="14"/>
    </row>
    <row r="17" spans="1:8">
      <c r="A17" s="14"/>
      <c r="B17" s="14"/>
      <c r="C17" s="12"/>
      <c r="D17" s="12"/>
      <c r="E17" s="12"/>
      <c r="F17" s="12"/>
      <c r="G17" s="12"/>
      <c r="H17" s="14"/>
    </row>
    <row r="18" spans="1:8">
      <c r="A18" s="14"/>
      <c r="B18" s="14"/>
      <c r="C18" s="12"/>
      <c r="D18" s="12"/>
      <c r="E18" s="12"/>
      <c r="F18" s="12"/>
      <c r="G18" s="12"/>
      <c r="H18" s="14"/>
    </row>
    <row r="19" spans="1:8">
      <c r="A19" s="14"/>
      <c r="B19" s="14"/>
      <c r="C19" s="12"/>
      <c r="D19" s="12"/>
      <c r="E19" s="12"/>
      <c r="F19" s="12"/>
      <c r="G19" s="12"/>
      <c r="H19" s="14"/>
    </row>
    <row r="20" spans="1:8">
      <c r="A20" s="14"/>
      <c r="B20" s="14"/>
      <c r="C20" s="12"/>
      <c r="D20" s="12"/>
      <c r="E20" s="12"/>
      <c r="F20" s="12"/>
      <c r="G20" s="12"/>
      <c r="H20" s="14"/>
    </row>
    <row r="21" spans="1:8">
      <c r="A21" s="14"/>
      <c r="B21" s="14"/>
      <c r="C21" s="12"/>
      <c r="D21" s="12"/>
      <c r="E21" s="12"/>
      <c r="F21" s="12"/>
      <c r="G21" s="12"/>
      <c r="H21" s="14"/>
    </row>
    <row r="22" spans="1:8">
      <c r="A22" s="14"/>
      <c r="B22" s="14"/>
      <c r="C22" s="12"/>
      <c r="D22" s="12"/>
      <c r="E22" s="12"/>
      <c r="F22" s="12"/>
      <c r="G22" s="12"/>
      <c r="H22" s="14"/>
    </row>
    <row r="23" spans="1:8">
      <c r="A23" s="14"/>
      <c r="B23" s="14"/>
      <c r="C23" s="12"/>
      <c r="D23" s="12"/>
      <c r="E23" s="12"/>
      <c r="F23" s="12"/>
      <c r="G23" s="12"/>
      <c r="H23" s="14"/>
    </row>
    <row r="24" spans="1:8">
      <c r="A24" s="14"/>
      <c r="B24" s="14"/>
      <c r="C24" s="12"/>
      <c r="D24" s="12"/>
      <c r="E24" s="12"/>
      <c r="F24" s="12"/>
      <c r="G24" s="12"/>
      <c r="H24" s="14"/>
    </row>
    <row r="25" spans="1:8">
      <c r="A25" s="14"/>
      <c r="B25" s="14"/>
      <c r="C25" s="12"/>
      <c r="D25" s="12"/>
      <c r="E25" s="12"/>
      <c r="F25" s="12"/>
      <c r="G25" s="12"/>
      <c r="H25" s="14"/>
    </row>
    <row r="26" spans="1:8">
      <c r="A26" s="14"/>
      <c r="B26" s="14"/>
      <c r="C26" s="12"/>
      <c r="D26" s="12"/>
      <c r="E26" s="12"/>
      <c r="F26" s="12"/>
      <c r="G26" s="12"/>
      <c r="H26" s="14"/>
    </row>
    <row r="27" spans="1:8">
      <c r="A27" s="14"/>
      <c r="B27" s="14"/>
      <c r="C27" s="12"/>
      <c r="D27" s="12"/>
      <c r="E27" s="12"/>
      <c r="F27" s="12"/>
      <c r="G27" s="12"/>
      <c r="H27" s="14"/>
    </row>
    <row r="28" spans="1:8">
      <c r="A28" s="14"/>
      <c r="B28" s="14"/>
      <c r="C28" s="12"/>
      <c r="D28" s="12"/>
      <c r="E28" s="12"/>
      <c r="F28" s="12"/>
      <c r="G28" s="12"/>
      <c r="H28" s="14"/>
    </row>
    <row r="29" spans="1:8">
      <c r="A29" s="14"/>
      <c r="B29" s="14"/>
      <c r="C29" s="12"/>
      <c r="D29" s="12"/>
      <c r="E29" s="12"/>
      <c r="F29" s="12"/>
      <c r="G29" s="12"/>
      <c r="H29" s="14"/>
    </row>
    <row r="30" spans="1:8">
      <c r="A30" s="14"/>
      <c r="B30" s="14"/>
      <c r="C30" s="12"/>
      <c r="D30" s="12"/>
      <c r="E30" s="12"/>
      <c r="F30" s="12"/>
      <c r="G30" s="12"/>
      <c r="H30" s="14"/>
    </row>
    <row r="31" spans="1:8">
      <c r="A31" s="14"/>
      <c r="B31" s="14"/>
      <c r="C31" s="12"/>
      <c r="D31" s="12"/>
      <c r="E31" s="12"/>
      <c r="F31" s="12"/>
      <c r="G31" s="12"/>
      <c r="H31" s="14"/>
    </row>
    <row r="32" spans="1:8">
      <c r="A32" s="14"/>
      <c r="B32" s="14"/>
      <c r="C32" s="12"/>
      <c r="D32" s="12"/>
      <c r="E32" s="12"/>
      <c r="F32" s="12"/>
      <c r="G32" s="12"/>
      <c r="H32" s="14"/>
    </row>
    <row r="33" spans="1:8">
      <c r="A33" s="14"/>
      <c r="B33" s="14"/>
      <c r="C33" s="12"/>
      <c r="D33" s="12"/>
      <c r="E33" s="12"/>
      <c r="F33" s="12"/>
      <c r="G33" s="12"/>
      <c r="H33" s="14"/>
    </row>
    <row r="34" spans="1:8">
      <c r="A34" s="14"/>
      <c r="B34" s="14"/>
      <c r="C34" s="12"/>
      <c r="D34" s="12"/>
      <c r="E34" s="12"/>
      <c r="F34" s="12"/>
      <c r="G34" s="12"/>
      <c r="H34" s="14"/>
    </row>
    <row r="35" spans="1:8">
      <c r="A35" s="14"/>
      <c r="B35" s="14"/>
      <c r="C35" s="12"/>
      <c r="D35" s="12"/>
      <c r="E35" s="12"/>
      <c r="F35" s="12"/>
      <c r="G35" s="12"/>
      <c r="H35" s="14"/>
    </row>
    <row r="36" spans="1:8">
      <c r="A36" s="14"/>
      <c r="B36" s="14"/>
      <c r="C36" s="12"/>
      <c r="D36" s="12"/>
      <c r="E36" s="12"/>
      <c r="F36" s="12"/>
      <c r="G36" s="12"/>
      <c r="H36" s="14"/>
    </row>
    <row r="37" spans="1:8">
      <c r="A37" s="14"/>
      <c r="B37" s="14"/>
      <c r="C37" s="12"/>
      <c r="D37" s="12"/>
      <c r="E37" s="12"/>
      <c r="F37" s="12"/>
      <c r="G37" s="12"/>
      <c r="H37" s="14"/>
    </row>
    <row r="38" spans="1:8">
      <c r="A38" s="14"/>
      <c r="B38" s="14"/>
      <c r="C38" s="12"/>
      <c r="D38" s="12"/>
      <c r="E38" s="12"/>
      <c r="F38" s="12"/>
      <c r="G38" s="12"/>
      <c r="H38" s="14"/>
    </row>
    <row r="39" spans="1:8">
      <c r="A39" s="14"/>
      <c r="B39" s="14"/>
      <c r="C39" s="12"/>
      <c r="D39" s="12"/>
      <c r="E39" s="12"/>
      <c r="F39" s="12"/>
      <c r="G39" s="12"/>
      <c r="H39" s="14"/>
    </row>
    <row r="40" spans="1:8">
      <c r="A40" s="14"/>
      <c r="B40" s="14"/>
      <c r="C40" s="12"/>
      <c r="D40" s="12"/>
      <c r="E40" s="12"/>
      <c r="F40" s="12"/>
      <c r="G40" s="12"/>
      <c r="H40" s="14"/>
    </row>
    <row r="41" spans="1:8">
      <c r="A41" s="14"/>
      <c r="B41" s="14"/>
      <c r="C41" s="12"/>
      <c r="D41" s="12"/>
      <c r="E41" s="12"/>
      <c r="F41" s="12"/>
      <c r="G41" s="12"/>
      <c r="H41" s="14"/>
    </row>
    <row r="42" spans="1:8">
      <c r="A42" s="14"/>
      <c r="B42" s="14"/>
      <c r="C42" s="12"/>
      <c r="D42" s="12"/>
      <c r="E42" s="12"/>
      <c r="F42" s="12"/>
      <c r="G42" s="12"/>
      <c r="H42" s="14"/>
    </row>
    <row r="43" spans="1:8">
      <c r="A43" s="14"/>
      <c r="B43" s="14"/>
      <c r="C43" s="12"/>
      <c r="D43" s="12"/>
      <c r="E43" s="12"/>
      <c r="F43" s="12"/>
      <c r="G43" s="12"/>
      <c r="H43" s="14"/>
    </row>
    <row r="44" spans="1:8">
      <c r="A44" s="14"/>
      <c r="B44" s="14"/>
      <c r="C44" s="12"/>
      <c r="D44" s="12"/>
      <c r="E44" s="12"/>
      <c r="F44" s="12"/>
      <c r="G44" s="12"/>
      <c r="H44" s="14"/>
    </row>
    <row r="45" spans="1:8">
      <c r="A45" s="14"/>
      <c r="B45" s="14"/>
      <c r="C45" s="12"/>
      <c r="D45" s="12"/>
      <c r="E45" s="12"/>
      <c r="F45" s="12"/>
      <c r="G45" s="12"/>
      <c r="H45" s="14"/>
    </row>
    <row r="46" spans="1:8">
      <c r="A46" s="14"/>
      <c r="B46" s="14"/>
      <c r="C46" s="12"/>
      <c r="D46" s="12"/>
      <c r="E46" s="12"/>
      <c r="F46" s="12"/>
      <c r="G46" s="12"/>
      <c r="H46" s="14"/>
    </row>
    <row r="47" spans="1:8">
      <c r="A47" s="14"/>
      <c r="B47" s="14"/>
      <c r="C47" s="12"/>
      <c r="D47" s="12"/>
      <c r="E47" s="12"/>
      <c r="F47" s="12"/>
      <c r="G47" s="12"/>
      <c r="H47" s="14"/>
    </row>
    <row r="48" spans="1:8">
      <c r="A48" s="14"/>
      <c r="B48" s="14"/>
      <c r="C48" s="12"/>
      <c r="D48" s="12"/>
      <c r="E48" s="12"/>
      <c r="F48" s="12"/>
      <c r="G48" s="12"/>
      <c r="H48" s="14"/>
    </row>
    <row r="49" spans="1:8">
      <c r="A49" s="14"/>
      <c r="B49" s="14"/>
      <c r="C49" s="12"/>
      <c r="D49" s="12"/>
      <c r="E49" s="12"/>
      <c r="F49" s="12"/>
      <c r="G49" s="12"/>
      <c r="H49" s="14"/>
    </row>
    <row r="50" spans="1:8">
      <c r="A50" s="14"/>
      <c r="B50" s="14"/>
      <c r="C50" s="12"/>
      <c r="D50" s="12"/>
      <c r="E50" s="12"/>
      <c r="F50" s="12"/>
      <c r="G50" s="12"/>
      <c r="H50" s="14"/>
    </row>
    <row r="51" spans="1:8">
      <c r="A51" s="14"/>
      <c r="B51" s="14"/>
      <c r="C51" s="12"/>
      <c r="D51" s="12"/>
      <c r="E51" s="12"/>
      <c r="F51" s="12"/>
      <c r="G51" s="12"/>
      <c r="H51" s="14"/>
    </row>
    <row r="52" spans="1:8">
      <c r="A52" s="14"/>
      <c r="B52" s="14"/>
      <c r="C52" s="12"/>
      <c r="D52" s="12"/>
      <c r="E52" s="12"/>
      <c r="F52" s="12"/>
      <c r="G52" s="12"/>
      <c r="H52" s="14"/>
    </row>
    <row r="53" spans="1:8">
      <c r="A53" s="14"/>
      <c r="B53" s="14"/>
      <c r="C53" s="12"/>
      <c r="D53" s="12"/>
      <c r="E53" s="12"/>
      <c r="F53" s="12"/>
      <c r="G53" s="12"/>
      <c r="H53" s="14"/>
    </row>
    <row r="54" spans="1:8">
      <c r="A54" s="14"/>
      <c r="B54" s="14"/>
      <c r="C54" s="12"/>
      <c r="D54" s="12"/>
      <c r="E54" s="12"/>
      <c r="F54" s="12"/>
      <c r="G54" s="12"/>
      <c r="H54" s="14"/>
    </row>
    <row r="55" spans="1:8">
      <c r="A55" s="14"/>
      <c r="B55" s="14"/>
      <c r="C55" s="12"/>
      <c r="D55" s="12"/>
      <c r="E55" s="12"/>
      <c r="F55" s="12"/>
      <c r="G55" s="12"/>
      <c r="H55" s="14"/>
    </row>
    <row r="56" spans="1:8">
      <c r="A56" s="14"/>
      <c r="B56" s="14"/>
      <c r="C56" s="12"/>
      <c r="D56" s="12"/>
      <c r="E56" s="12"/>
      <c r="F56" s="12"/>
      <c r="G56" s="12"/>
      <c r="H56" s="14"/>
    </row>
    <row r="57" spans="1:8">
      <c r="A57" s="14"/>
      <c r="B57" s="14"/>
      <c r="C57" s="12"/>
      <c r="D57" s="12"/>
      <c r="E57" s="12"/>
      <c r="F57" s="12"/>
      <c r="G57" s="12"/>
      <c r="H57" s="14"/>
    </row>
    <row r="58" spans="1:8">
      <c r="A58" s="14"/>
      <c r="B58" s="14"/>
      <c r="C58" s="12"/>
      <c r="D58" s="12"/>
      <c r="E58" s="12"/>
      <c r="F58" s="12"/>
      <c r="G58" s="12"/>
      <c r="H58" s="14"/>
    </row>
    <row r="59" spans="1:8">
      <c r="A59" s="14"/>
      <c r="B59" s="14"/>
      <c r="C59" s="12"/>
      <c r="D59" s="12"/>
      <c r="E59" s="12"/>
      <c r="F59" s="12"/>
      <c r="G59" s="12"/>
      <c r="H59" s="14"/>
    </row>
    <row r="60" spans="1:8">
      <c r="A60" s="14"/>
      <c r="B60" s="14"/>
      <c r="C60" s="12"/>
      <c r="D60" s="12"/>
      <c r="E60" s="12"/>
      <c r="F60" s="12"/>
      <c r="G60" s="12"/>
      <c r="H60" s="14"/>
    </row>
    <row r="61" spans="1:8">
      <c r="A61" s="14"/>
      <c r="B61" s="14"/>
      <c r="C61" s="12"/>
      <c r="D61" s="12"/>
      <c r="E61" s="12"/>
      <c r="F61" s="12"/>
      <c r="G61" s="12"/>
      <c r="H61" s="14"/>
    </row>
    <row r="63" spans="1:8">
      <c r="A63" s="2" t="s">
        <v>114</v>
      </c>
    </row>
  </sheetData>
  <pageMargins left="0.7" right="0.7" top="0.75" bottom="0.75" header="0.3" footer="0.3"/>
  <pageSetup paperSize="1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14" width="12.7109375" customWidth="1"/>
  </cols>
  <sheetData>
    <row r="1" spans="1:14">
      <c r="A1" s="15" t="s">
        <v>115</v>
      </c>
      <c r="B1" s="15" t="s">
        <v>116</v>
      </c>
      <c r="C1" s="15" t="s">
        <v>117</v>
      </c>
      <c r="D1" s="15" t="s">
        <v>118</v>
      </c>
      <c r="E1" s="15" t="s">
        <v>119</v>
      </c>
      <c r="F1" s="15" t="s">
        <v>120</v>
      </c>
      <c r="G1" s="15" t="s">
        <v>121</v>
      </c>
      <c r="H1" s="15" t="s">
        <v>122</v>
      </c>
      <c r="I1" s="15" t="s">
        <v>123</v>
      </c>
      <c r="J1" s="15" t="s">
        <v>124</v>
      </c>
      <c r="K1" s="15" t="s">
        <v>125</v>
      </c>
      <c r="L1" s="15" t="s">
        <v>126</v>
      </c>
      <c r="M1" s="15" t="s">
        <v>127</v>
      </c>
      <c r="N1" s="15" t="s">
        <v>34</v>
      </c>
    </row>
    <row r="2" spans="1:14">
      <c r="A2" s="14" t="s">
        <v>128</v>
      </c>
      <c r="B2" s="12">
        <v>20</v>
      </c>
      <c r="C2" s="12">
        <v>45</v>
      </c>
      <c r="D2" s="12">
        <v>22</v>
      </c>
      <c r="E2" s="12">
        <v>0</v>
      </c>
      <c r="F2" s="7">
        <f>IF(B2="",0,MAX(0,100-C2-D2-E2))</f>
        <v>0</v>
      </c>
      <c r="G2" s="12">
        <v>1600</v>
      </c>
      <c r="H2" s="7">
        <f>N(B2)*PigsFed/2000</f>
        <v>0</v>
      </c>
      <c r="I2" s="7">
        <f>H2*2000*N(C2)/100/56</f>
        <v>0</v>
      </c>
      <c r="J2" s="7">
        <f>H2*N(D2)/100</f>
        <v>0</v>
      </c>
      <c r="K2" s="7">
        <f>H2*N(E2)/100</f>
        <v>0</v>
      </c>
      <c r="L2" s="7">
        <f>H2*F2/100</f>
        <v>0</v>
      </c>
      <c r="M2" s="4">
        <f>I2*CornCash+J2*SbmCash+K2*DdgsPrice+L2*N(G2)+H2*FeedMill</f>
        <v>0</v>
      </c>
      <c r="N2" s="5">
        <f>IF(H2=0,0,M2/H2)</f>
        <v>0</v>
      </c>
    </row>
    <row r="3" spans="1:14">
      <c r="A3" s="14" t="s">
        <v>129</v>
      </c>
      <c r="B3" s="12">
        <v>35</v>
      </c>
      <c r="C3" s="12">
        <v>58</v>
      </c>
      <c r="D3" s="12">
        <v>25</v>
      </c>
      <c r="E3" s="12">
        <v>10</v>
      </c>
      <c r="F3" s="7">
        <f>IF(B3="",0,MAX(0,100-C3-D3-E3))</f>
        <v>0</v>
      </c>
      <c r="G3" s="12">
        <v>1000</v>
      </c>
      <c r="H3" s="7">
        <f>N(B3)*PigsFed/2000</f>
        <v>0</v>
      </c>
      <c r="I3" s="7">
        <f>H3*2000*N(C3)/100/56</f>
        <v>0</v>
      </c>
      <c r="J3" s="7">
        <f>H3*N(D3)/100</f>
        <v>0</v>
      </c>
      <c r="K3" s="7">
        <f>H3*N(E3)/100</f>
        <v>0</v>
      </c>
      <c r="L3" s="7">
        <f>H3*F3/100</f>
        <v>0</v>
      </c>
      <c r="M3" s="4">
        <f>I3*CornCash+J3*SbmCash+K3*DdgsPrice+L3*N(G3)+H3*FeedMill</f>
        <v>0</v>
      </c>
      <c r="N3" s="5">
        <f>IF(H3=0,0,M3/H3)</f>
        <v>0</v>
      </c>
    </row>
    <row r="4" spans="1:14">
      <c r="A4" s="14" t="s">
        <v>130</v>
      </c>
      <c r="B4" s="12">
        <v>120</v>
      </c>
      <c r="C4" s="12">
        <v>58</v>
      </c>
      <c r="D4" s="12">
        <v>20</v>
      </c>
      <c r="E4" s="12">
        <v>20</v>
      </c>
      <c r="F4" s="7">
        <f>IF(B4="",0,MAX(0,100-C4-D4-E4))</f>
        <v>0</v>
      </c>
      <c r="G4" s="12">
        <v>1200</v>
      </c>
      <c r="H4" s="7">
        <f>N(B4)*PigsFed/2000</f>
        <v>0</v>
      </c>
      <c r="I4" s="7">
        <f>H4*2000*N(C4)/100/56</f>
        <v>0</v>
      </c>
      <c r="J4" s="7">
        <f>H4*N(D4)/100</f>
        <v>0</v>
      </c>
      <c r="K4" s="7">
        <f>H4*N(E4)/100</f>
        <v>0</v>
      </c>
      <c r="L4" s="7">
        <f>H4*F4/100</f>
        <v>0</v>
      </c>
      <c r="M4" s="4">
        <f>I4*CornCash+J4*SbmCash+K4*DdgsPrice+L4*N(G4)+H4*FeedMill</f>
        <v>0</v>
      </c>
      <c r="N4" s="5">
        <f>IF(H4=0,0,M4/H4)</f>
        <v>0</v>
      </c>
    </row>
    <row r="5" spans="1:14">
      <c r="A5" s="14" t="s">
        <v>131</v>
      </c>
      <c r="B5" s="12">
        <v>160</v>
      </c>
      <c r="C5" s="12">
        <v>63</v>
      </c>
      <c r="D5" s="12">
        <v>14</v>
      </c>
      <c r="E5" s="12">
        <v>20</v>
      </c>
      <c r="F5" s="7">
        <f>IF(B5="",0,MAX(0,100-C5-D5-E5))</f>
        <v>0</v>
      </c>
      <c r="G5" s="12">
        <v>1200</v>
      </c>
      <c r="H5" s="7">
        <f>N(B5)*PigsFed/2000</f>
        <v>0</v>
      </c>
      <c r="I5" s="7">
        <f>H5*2000*N(C5)/100/56</f>
        <v>0</v>
      </c>
      <c r="J5" s="7">
        <f>H5*N(D5)/100</f>
        <v>0</v>
      </c>
      <c r="K5" s="7">
        <f>H5*N(E5)/100</f>
        <v>0</v>
      </c>
      <c r="L5" s="7">
        <f>H5*F5/100</f>
        <v>0</v>
      </c>
      <c r="M5" s="4">
        <f>I5*CornCash+J5*SbmCash+K5*DdgsPrice+L5*N(G5)+H5*FeedMill</f>
        <v>0</v>
      </c>
      <c r="N5" s="5">
        <f>IF(H5=0,0,M5/H5)</f>
        <v>0</v>
      </c>
    </row>
    <row r="6" spans="1:14">
      <c r="A6" s="14" t="s">
        <v>132</v>
      </c>
      <c r="B6" s="12">
        <v>180</v>
      </c>
      <c r="C6" s="12">
        <v>67</v>
      </c>
      <c r="D6" s="12">
        <v>10</v>
      </c>
      <c r="E6" s="12">
        <v>20</v>
      </c>
      <c r="F6" s="7">
        <f>IF(B6="",0,MAX(0,100-C6-D6-E6))</f>
        <v>0</v>
      </c>
      <c r="G6" s="12">
        <v>1200</v>
      </c>
      <c r="H6" s="7">
        <f>N(B6)*PigsFed/2000</f>
        <v>0</v>
      </c>
      <c r="I6" s="7">
        <f>H6*2000*N(C6)/100/56</f>
        <v>0</v>
      </c>
      <c r="J6" s="7">
        <f>H6*N(D6)/100</f>
        <v>0</v>
      </c>
      <c r="K6" s="7">
        <f>H6*N(E6)/100</f>
        <v>0</v>
      </c>
      <c r="L6" s="7">
        <f>H6*F6/100</f>
        <v>0</v>
      </c>
      <c r="M6" s="4">
        <f>I6*CornCash+J6*SbmCash+K6*DdgsPrice+L6*N(G6)+H6*FeedMill</f>
        <v>0</v>
      </c>
      <c r="N6" s="5">
        <f>IF(H6=0,0,M6/H6)</f>
        <v>0</v>
      </c>
    </row>
    <row r="7" spans="1:14">
      <c r="A7" s="14" t="s">
        <v>133</v>
      </c>
      <c r="B7" s="12">
        <v>195</v>
      </c>
      <c r="C7" s="12">
        <v>74</v>
      </c>
      <c r="D7" s="12">
        <v>8</v>
      </c>
      <c r="E7" s="12">
        <v>15</v>
      </c>
      <c r="F7" s="7">
        <f>IF(B7="",0,MAX(0,100-C7-D7-E7))</f>
        <v>0</v>
      </c>
      <c r="G7" s="12">
        <v>1200</v>
      </c>
      <c r="H7" s="7">
        <f>N(B7)*PigsFed/2000</f>
        <v>0</v>
      </c>
      <c r="I7" s="7">
        <f>H7*2000*N(C7)/100/56</f>
        <v>0</v>
      </c>
      <c r="J7" s="7">
        <f>H7*N(D7)/100</f>
        <v>0</v>
      </c>
      <c r="K7" s="7">
        <f>H7*N(E7)/100</f>
        <v>0</v>
      </c>
      <c r="L7" s="7">
        <f>H7*F7/100</f>
        <v>0</v>
      </c>
      <c r="M7" s="4">
        <f>I7*CornCash+J7*SbmCash+K7*DdgsPrice+L7*N(G7)+H7*FeedMill</f>
        <v>0</v>
      </c>
      <c r="N7" s="5">
        <f>IF(H7=0,0,M7/H7)</f>
        <v>0</v>
      </c>
    </row>
    <row r="8" spans="1:14">
      <c r="A8" s="14"/>
      <c r="B8" s="12"/>
      <c r="C8" s="12"/>
      <c r="D8" s="12"/>
      <c r="E8" s="12"/>
      <c r="F8" s="7">
        <f>IF(B8="",0,MAX(0,100-C8-D8-E8))</f>
        <v>0</v>
      </c>
      <c r="G8" s="12"/>
      <c r="H8" s="7">
        <f>N(B8)*PigsFed/2000</f>
        <v>0</v>
      </c>
      <c r="I8" s="7">
        <f>H8*2000*N(C8)/100/56</f>
        <v>0</v>
      </c>
      <c r="J8" s="7">
        <f>H8*N(D8)/100</f>
        <v>0</v>
      </c>
      <c r="K8" s="7">
        <f>H8*N(E8)/100</f>
        <v>0</v>
      </c>
      <c r="L8" s="7">
        <f>H8*F8/100</f>
        <v>0</v>
      </c>
      <c r="M8" s="4">
        <f>I8*CornCash+J8*SbmCash+K8*DdgsPrice+L8*N(G8)+H8*FeedMill</f>
        <v>0</v>
      </c>
      <c r="N8" s="5">
        <f>IF(H8=0,0,M8/H8)</f>
        <v>0</v>
      </c>
    </row>
    <row r="9" spans="1:14">
      <c r="A9" s="14"/>
      <c r="B9" s="12"/>
      <c r="C9" s="12"/>
      <c r="D9" s="12"/>
      <c r="E9" s="12"/>
      <c r="F9" s="7">
        <f>IF(B9="",0,MAX(0,100-C9-D9-E9))</f>
        <v>0</v>
      </c>
      <c r="G9" s="12"/>
      <c r="H9" s="7">
        <f>N(B9)*PigsFed/2000</f>
        <v>0</v>
      </c>
      <c r="I9" s="7">
        <f>H9*2000*N(C9)/100/56</f>
        <v>0</v>
      </c>
      <c r="J9" s="7">
        <f>H9*N(D9)/100</f>
        <v>0</v>
      </c>
      <c r="K9" s="7">
        <f>H9*N(E9)/100</f>
        <v>0</v>
      </c>
      <c r="L9" s="7">
        <f>H9*F9/100</f>
        <v>0</v>
      </c>
      <c r="M9" s="4">
        <f>I9*CornCash+J9*SbmCash+K9*DdgsPrice+L9*N(G9)+H9*FeedMill</f>
        <v>0</v>
      </c>
      <c r="N9" s="5">
        <f>IF(H9=0,0,M9/H9)</f>
        <v>0</v>
      </c>
    </row>
    <row r="10" spans="1:14">
      <c r="A10" s="14"/>
      <c r="B10" s="12"/>
      <c r="C10" s="12"/>
      <c r="D10" s="12"/>
      <c r="E10" s="12"/>
      <c r="F10" s="7">
        <f>IF(B10="",0,MAX(0,100-C10-D10-E10))</f>
        <v>0</v>
      </c>
      <c r="G10" s="12"/>
      <c r="H10" s="7">
        <f>N(B10)*PigsFed/2000</f>
        <v>0</v>
      </c>
      <c r="I10" s="7">
        <f>H10*2000*N(C10)/100/56</f>
        <v>0</v>
      </c>
      <c r="J10" s="7">
        <f>H10*N(D10)/100</f>
        <v>0</v>
      </c>
      <c r="K10" s="7">
        <f>H10*N(E10)/100</f>
        <v>0</v>
      </c>
      <c r="L10" s="7">
        <f>H10*F10/100</f>
        <v>0</v>
      </c>
      <c r="M10" s="4">
        <f>I10*CornCash+J10*SbmCash+K10*DdgsPrice+L10*N(G10)+H10*FeedMill</f>
        <v>0</v>
      </c>
      <c r="N10" s="5">
        <f>IF(H10=0,0,M10/H10)</f>
        <v>0</v>
      </c>
    </row>
    <row r="11" spans="1:14">
      <c r="A11" s="14"/>
      <c r="B11" s="12"/>
      <c r="C11" s="12"/>
      <c r="D11" s="12"/>
      <c r="E11" s="12"/>
      <c r="F11" s="7">
        <f>IF(B11="",0,MAX(0,100-C11-D11-E11))</f>
        <v>0</v>
      </c>
      <c r="G11" s="12"/>
      <c r="H11" s="7">
        <f>N(B11)*PigsFed/2000</f>
        <v>0</v>
      </c>
      <c r="I11" s="7">
        <f>H11*2000*N(C11)/100/56</f>
        <v>0</v>
      </c>
      <c r="J11" s="7">
        <f>H11*N(D11)/100</f>
        <v>0</v>
      </c>
      <c r="K11" s="7">
        <f>H11*N(E11)/100</f>
        <v>0</v>
      </c>
      <c r="L11" s="7">
        <f>H11*F11/100</f>
        <v>0</v>
      </c>
      <c r="M11" s="4">
        <f>I11*CornCash+J11*SbmCash+K11*DdgsPrice+L11*N(G11)+H11*FeedMill</f>
        <v>0</v>
      </c>
      <c r="N11" s="5">
        <f>IF(H11=0,0,M11/H11)</f>
        <v>0</v>
      </c>
    </row>
    <row r="12" spans="1:14">
      <c r="A12" s="14"/>
      <c r="B12" s="12"/>
      <c r="C12" s="12"/>
      <c r="D12" s="12"/>
      <c r="E12" s="12"/>
      <c r="F12" s="7">
        <f>IF(B12="",0,MAX(0,100-C12-D12-E12))</f>
        <v>0</v>
      </c>
      <c r="G12" s="12"/>
      <c r="H12" s="7">
        <f>N(B12)*PigsFed/2000</f>
        <v>0</v>
      </c>
      <c r="I12" s="7">
        <f>H12*2000*N(C12)/100/56</f>
        <v>0</v>
      </c>
      <c r="J12" s="7">
        <f>H12*N(D12)/100</f>
        <v>0</v>
      </c>
      <c r="K12" s="7">
        <f>H12*N(E12)/100</f>
        <v>0</v>
      </c>
      <c r="L12" s="7">
        <f>H12*F12/100</f>
        <v>0</v>
      </c>
      <c r="M12" s="4">
        <f>I12*CornCash+J12*SbmCash+K12*DdgsPrice+L12*N(G12)+H12*FeedMill</f>
        <v>0</v>
      </c>
      <c r="N12" s="5">
        <f>IF(H12=0,0,M12/H12)</f>
        <v>0</v>
      </c>
    </row>
    <row r="13" spans="1:14">
      <c r="A13" s="14"/>
      <c r="B13" s="12"/>
      <c r="C13" s="12"/>
      <c r="D13" s="12"/>
      <c r="E13" s="12"/>
      <c r="F13" s="7">
        <f>IF(B13="",0,MAX(0,100-C13-D13-E13))</f>
        <v>0</v>
      </c>
      <c r="G13" s="12"/>
      <c r="H13" s="7">
        <f>N(B13)*PigsFed/2000</f>
        <v>0</v>
      </c>
      <c r="I13" s="7">
        <f>H13*2000*N(C13)/100/56</f>
        <v>0</v>
      </c>
      <c r="J13" s="7">
        <f>H13*N(D13)/100</f>
        <v>0</v>
      </c>
      <c r="K13" s="7">
        <f>H13*N(E13)/100</f>
        <v>0</v>
      </c>
      <c r="L13" s="7">
        <f>H13*F13/100</f>
        <v>0</v>
      </c>
      <c r="M13" s="4">
        <f>I13*CornCash+J13*SbmCash+K13*DdgsPrice+L13*N(G13)+H13*FeedMill</f>
        <v>0</v>
      </c>
      <c r="N13" s="5">
        <f>IF(H13=0,0,M13/H13)</f>
        <v>0</v>
      </c>
    </row>
    <row r="14" spans="1:14">
      <c r="A14" s="8" t="s">
        <v>134</v>
      </c>
      <c r="B14" s="7">
        <f>SUM(B2:B13)</f>
        <v>0</v>
      </c>
      <c r="H14" s="7">
        <f>SUM(H2:H13)</f>
        <v>0</v>
      </c>
      <c r="I14" s="7">
        <f>SUM(I2:I13)</f>
        <v>0</v>
      </c>
      <c r="J14" s="7">
        <f>SUM(J2:J13)</f>
        <v>0</v>
      </c>
      <c r="K14" s="7">
        <f>SUM(K2:K13)</f>
        <v>0</v>
      </c>
      <c r="L14" s="7">
        <f>SUM(L2:L13)</f>
        <v>0</v>
      </c>
      <c r="M14" s="16">
        <f>SUM(M2:M13)</f>
        <v>0</v>
      </c>
      <c r="N14" s="5">
        <f>IF(H14=0,0,M14/H14)</f>
        <v>0</v>
      </c>
    </row>
    <row r="16" spans="1:14">
      <c r="A16" s="2" t="s">
        <v>135</v>
      </c>
    </row>
  </sheetData>
  <pageMargins left="0.7" right="0.7" top="0.75" bottom="0.75" header="0.3" footer="0.3"/>
  <pageSetup paperSize="1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2"/>
  <sheetViews>
    <sheetView workbookViewId="0"/>
  </sheetViews>
  <sheetFormatPr defaultRowHeight="15"/>
  <cols>
    <col min="1" max="13" width="15.7109375" customWidth="1"/>
  </cols>
  <sheetData>
    <row r="1" spans="1:13">
      <c r="A1" s="15" t="s">
        <v>168</v>
      </c>
      <c r="B1" s="15" t="s">
        <v>169</v>
      </c>
      <c r="C1" s="15" t="s">
        <v>170</v>
      </c>
      <c r="D1" s="15" t="s">
        <v>171</v>
      </c>
      <c r="E1" s="15" t="s">
        <v>137</v>
      </c>
      <c r="F1" s="15" t="s">
        <v>172</v>
      </c>
      <c r="G1" s="15" t="s">
        <v>173</v>
      </c>
      <c r="H1" s="15" t="s">
        <v>174</v>
      </c>
      <c r="I1" s="15" t="s">
        <v>175</v>
      </c>
      <c r="J1" s="15" t="s">
        <v>176</v>
      </c>
      <c r="K1" s="15" t="s">
        <v>177</v>
      </c>
      <c r="L1" s="15" t="s">
        <v>178</v>
      </c>
      <c r="M1" s="15" t="s">
        <v>179</v>
      </c>
    </row>
    <row r="2" spans="1:13">
      <c r="A2" s="10">
        <v>145</v>
      </c>
      <c r="B2" s="13">
        <v>20</v>
      </c>
      <c r="C2" s="12">
        <v>270</v>
      </c>
      <c r="D2" s="17">
        <f>IF(A2&lt;&gt;"",PlacementDate+A2,"")</f>
        <v>0</v>
      </c>
      <c r="E2" s="9">
        <f>IF(A2&lt;&gt;"",(YEAR(D2)+(IF(AND(ISNUMBER(MATCH(MONTH(D2),{2,4,5,6,7,8,10,12},0)),DAY(D2)&lt;=14),MONTH(D2),IF(MONTH(D2)&lt;2,2,IF(MONTH(D2)&lt;4,4,IF(MONTH(D2)&lt;8,MONTH(D2)+1,IF(MONTH(D2)&lt;10,10,IF(MONTH(D2)&lt;12,12,14))))))&gt;12))&amp;"-"&amp;TEXT(IF(AND(ISNUMBER(MATCH(MONTH(D2),{2,4,5,6,7,8,10,12},0)),DAY(D2)&lt;=14),MONTH(D2),IF(MONTH(D2)&lt;2,2,IF(MONTH(D2)&lt;4,4,IF(MONTH(D2)&lt;8,MONTH(D2)+1,IF(MONTH(D2)&lt;10,10,IF(MONTH(D2)&lt;12,12,14))))))-12*(IF(AND(ISNUMBER(MATCH(MONTH(D2),{2,4,5,6,7,8,10,12},0)),DAY(D2)&lt;=14),MONTH(D2),IF(MONTH(D2)&lt;2,2,IF(MONTH(D2)&lt;4,4,IF(MONTH(D2)&lt;8,MONTH(D2)+1,IF(MONTH(D2)&lt;10,10,IF(MONTH(D2)&lt;12,12,14))))))&gt;12),"00"),"")</f>
        <v>0</v>
      </c>
      <c r="F2" s="6">
        <f>IF(A2&lt;&gt;"",(MONTH(D2)-1)*2+IF(DAY(D2)&lt;=14,1,2),0)</f>
        <v>0</v>
      </c>
      <c r="G2" s="7">
        <f>IF(AND(A2&lt;&gt;"",N(B2)&gt;0),INDEX(FutPrices,MATCH(E2,FutContracts,0)),0)</f>
        <v>0</v>
      </c>
      <c r="H2" s="7">
        <f>IF(AND(A2&lt;&gt;"",N(B2)&gt;0),INDEX(BasisByPeriod,F2),0)</f>
        <v>0</v>
      </c>
      <c r="I2" s="7">
        <f>IF(AND(A2&lt;&gt;"",N(B2)&gt;0),Premium,0)</f>
        <v>0</v>
      </c>
      <c r="J2" s="5">
        <f>G2+H2+I2</f>
        <v>0</v>
      </c>
      <c r="K2" s="7">
        <f>HeadSold*N(B2)/100</f>
        <v>0</v>
      </c>
      <c r="L2" s="7">
        <f>N(C2)*YieldPct/100</f>
        <v>0</v>
      </c>
      <c r="M2" s="4">
        <f>K2*L2/100*J2</f>
        <v>0</v>
      </c>
    </row>
    <row r="3" spans="1:13">
      <c r="A3" s="10">
        <v>160</v>
      </c>
      <c r="B3" s="13">
        <v>40</v>
      </c>
      <c r="C3" s="12">
        <v>285</v>
      </c>
      <c r="D3" s="17">
        <f>IF(A3&lt;&gt;"",PlacementDate+A3,"")</f>
        <v>0</v>
      </c>
      <c r="E3" s="9">
        <f>IF(A3&lt;&gt;"",(YEAR(D3)+(IF(AND(ISNUMBER(MATCH(MONTH(D3),{2,4,5,6,7,8,10,12},0)),DAY(D3)&lt;=14),MONTH(D3),IF(MONTH(D3)&lt;2,2,IF(MONTH(D3)&lt;4,4,IF(MONTH(D3)&lt;8,MONTH(D3)+1,IF(MONTH(D3)&lt;10,10,IF(MONTH(D3)&lt;12,12,14))))))&gt;12))&amp;"-"&amp;TEXT(IF(AND(ISNUMBER(MATCH(MONTH(D3),{2,4,5,6,7,8,10,12},0)),DAY(D3)&lt;=14),MONTH(D3),IF(MONTH(D3)&lt;2,2,IF(MONTH(D3)&lt;4,4,IF(MONTH(D3)&lt;8,MONTH(D3)+1,IF(MONTH(D3)&lt;10,10,IF(MONTH(D3)&lt;12,12,14))))))-12*(IF(AND(ISNUMBER(MATCH(MONTH(D3),{2,4,5,6,7,8,10,12},0)),DAY(D3)&lt;=14),MONTH(D3),IF(MONTH(D3)&lt;2,2,IF(MONTH(D3)&lt;4,4,IF(MONTH(D3)&lt;8,MONTH(D3)+1,IF(MONTH(D3)&lt;10,10,IF(MONTH(D3)&lt;12,12,14))))))&gt;12),"00"),"")</f>
        <v>0</v>
      </c>
      <c r="F3" s="6">
        <f>IF(A3&lt;&gt;"",(MONTH(D3)-1)*2+IF(DAY(D3)&lt;=14,1,2),0)</f>
        <v>0</v>
      </c>
      <c r="G3" s="7">
        <f>IF(AND(A3&lt;&gt;"",N(B3)&gt;0),INDEX(FutPrices,MATCH(E3,FutContracts,0)),0)</f>
        <v>0</v>
      </c>
      <c r="H3" s="7">
        <f>IF(AND(A3&lt;&gt;"",N(B3)&gt;0),INDEX(BasisByPeriod,F3),0)</f>
        <v>0</v>
      </c>
      <c r="I3" s="7">
        <f>IF(AND(A3&lt;&gt;"",N(B3)&gt;0),Premium,0)</f>
        <v>0</v>
      </c>
      <c r="J3" s="5">
        <f>G3+H3+I3</f>
        <v>0</v>
      </c>
      <c r="K3" s="7">
        <f>HeadSold*N(B3)/100</f>
        <v>0</v>
      </c>
      <c r="L3" s="7">
        <f>N(C3)*YieldPct/100</f>
        <v>0</v>
      </c>
      <c r="M3" s="4">
        <f>K3*L3/100*J3</f>
        <v>0</v>
      </c>
    </row>
    <row r="4" spans="1:13">
      <c r="A4" s="10">
        <v>175</v>
      </c>
      <c r="B4" s="13">
        <v>40</v>
      </c>
      <c r="C4" s="12">
        <v>290</v>
      </c>
      <c r="D4" s="17">
        <f>IF(A4&lt;&gt;"",PlacementDate+A4,"")</f>
        <v>0</v>
      </c>
      <c r="E4" s="9">
        <f>IF(A4&lt;&gt;"",(YEAR(D4)+(IF(AND(ISNUMBER(MATCH(MONTH(D4),{2,4,5,6,7,8,10,12},0)),DAY(D4)&lt;=14),MONTH(D4),IF(MONTH(D4)&lt;2,2,IF(MONTH(D4)&lt;4,4,IF(MONTH(D4)&lt;8,MONTH(D4)+1,IF(MONTH(D4)&lt;10,10,IF(MONTH(D4)&lt;12,12,14))))))&gt;12))&amp;"-"&amp;TEXT(IF(AND(ISNUMBER(MATCH(MONTH(D4),{2,4,5,6,7,8,10,12},0)),DAY(D4)&lt;=14),MONTH(D4),IF(MONTH(D4)&lt;2,2,IF(MONTH(D4)&lt;4,4,IF(MONTH(D4)&lt;8,MONTH(D4)+1,IF(MONTH(D4)&lt;10,10,IF(MONTH(D4)&lt;12,12,14))))))-12*(IF(AND(ISNUMBER(MATCH(MONTH(D4),{2,4,5,6,7,8,10,12},0)),DAY(D4)&lt;=14),MONTH(D4),IF(MONTH(D4)&lt;2,2,IF(MONTH(D4)&lt;4,4,IF(MONTH(D4)&lt;8,MONTH(D4)+1,IF(MONTH(D4)&lt;10,10,IF(MONTH(D4)&lt;12,12,14))))))&gt;12),"00"),"")</f>
        <v>0</v>
      </c>
      <c r="F4" s="6">
        <f>IF(A4&lt;&gt;"",(MONTH(D4)-1)*2+IF(DAY(D4)&lt;=14,1,2),0)</f>
        <v>0</v>
      </c>
      <c r="G4" s="7">
        <f>IF(AND(A4&lt;&gt;"",N(B4)&gt;0),INDEX(FutPrices,MATCH(E4,FutContracts,0)),0)</f>
        <v>0</v>
      </c>
      <c r="H4" s="7">
        <f>IF(AND(A4&lt;&gt;"",N(B4)&gt;0),INDEX(BasisByPeriod,F4),0)</f>
        <v>0</v>
      </c>
      <c r="I4" s="7">
        <f>IF(AND(A4&lt;&gt;"",N(B4)&gt;0),Premium,0)</f>
        <v>0</v>
      </c>
      <c r="J4" s="5">
        <f>G4+H4+I4</f>
        <v>0</v>
      </c>
      <c r="K4" s="7">
        <f>HeadSold*N(B4)/100</f>
        <v>0</v>
      </c>
      <c r="L4" s="7">
        <f>N(C4)*YieldPct/100</f>
        <v>0</v>
      </c>
      <c r="M4" s="4">
        <f>K4*L4/100*J4</f>
        <v>0</v>
      </c>
    </row>
    <row r="5" spans="1:13">
      <c r="A5" s="12"/>
      <c r="B5" s="12"/>
      <c r="C5" s="12"/>
      <c r="D5" s="17">
        <f>IF(A5&lt;&gt;"",PlacementDate+A5,"")</f>
        <v>0</v>
      </c>
      <c r="E5" s="9">
        <f>IF(A5&lt;&gt;"",(YEAR(D5)+(IF(AND(ISNUMBER(MATCH(MONTH(D5),{2,4,5,6,7,8,10,12},0)),DAY(D5)&lt;=14),MONTH(D5),IF(MONTH(D5)&lt;2,2,IF(MONTH(D5)&lt;4,4,IF(MONTH(D5)&lt;8,MONTH(D5)+1,IF(MONTH(D5)&lt;10,10,IF(MONTH(D5)&lt;12,12,14))))))&gt;12))&amp;"-"&amp;TEXT(IF(AND(ISNUMBER(MATCH(MONTH(D5),{2,4,5,6,7,8,10,12},0)),DAY(D5)&lt;=14),MONTH(D5),IF(MONTH(D5)&lt;2,2,IF(MONTH(D5)&lt;4,4,IF(MONTH(D5)&lt;8,MONTH(D5)+1,IF(MONTH(D5)&lt;10,10,IF(MONTH(D5)&lt;12,12,14))))))-12*(IF(AND(ISNUMBER(MATCH(MONTH(D5),{2,4,5,6,7,8,10,12},0)),DAY(D5)&lt;=14),MONTH(D5),IF(MONTH(D5)&lt;2,2,IF(MONTH(D5)&lt;4,4,IF(MONTH(D5)&lt;8,MONTH(D5)+1,IF(MONTH(D5)&lt;10,10,IF(MONTH(D5)&lt;12,12,14))))))&gt;12),"00"),"")</f>
        <v>0</v>
      </c>
      <c r="F5" s="6">
        <f>IF(A5&lt;&gt;"",(MONTH(D5)-1)*2+IF(DAY(D5)&lt;=14,1,2),0)</f>
        <v>0</v>
      </c>
      <c r="G5" s="7">
        <f>IF(AND(A5&lt;&gt;"",N(B5)&gt;0),INDEX(FutPrices,MATCH(E5,FutContracts,0)),0)</f>
        <v>0</v>
      </c>
      <c r="H5" s="7">
        <f>IF(AND(A5&lt;&gt;"",N(B5)&gt;0),INDEX(BasisByPeriod,F5),0)</f>
        <v>0</v>
      </c>
      <c r="I5" s="7">
        <f>IF(AND(A5&lt;&gt;"",N(B5)&gt;0),Premium,0)</f>
        <v>0</v>
      </c>
      <c r="J5" s="5">
        <f>G5+H5+I5</f>
        <v>0</v>
      </c>
      <c r="K5" s="7">
        <f>HeadSold*N(B5)/100</f>
        <v>0</v>
      </c>
      <c r="L5" s="7">
        <f>N(C5)*YieldPct/100</f>
        <v>0</v>
      </c>
      <c r="M5" s="4">
        <f>K5*L5/100*J5</f>
        <v>0</v>
      </c>
    </row>
    <row r="6" spans="1:13">
      <c r="A6" s="12"/>
      <c r="B6" s="12"/>
      <c r="C6" s="12"/>
      <c r="D6" s="17">
        <f>IF(A6&lt;&gt;"",PlacementDate+A6,"")</f>
        <v>0</v>
      </c>
      <c r="E6" s="9">
        <f>IF(A6&lt;&gt;"",(YEAR(D6)+(IF(AND(ISNUMBER(MATCH(MONTH(D6),{2,4,5,6,7,8,10,12},0)),DAY(D6)&lt;=14),MONTH(D6),IF(MONTH(D6)&lt;2,2,IF(MONTH(D6)&lt;4,4,IF(MONTH(D6)&lt;8,MONTH(D6)+1,IF(MONTH(D6)&lt;10,10,IF(MONTH(D6)&lt;12,12,14))))))&gt;12))&amp;"-"&amp;TEXT(IF(AND(ISNUMBER(MATCH(MONTH(D6),{2,4,5,6,7,8,10,12},0)),DAY(D6)&lt;=14),MONTH(D6),IF(MONTH(D6)&lt;2,2,IF(MONTH(D6)&lt;4,4,IF(MONTH(D6)&lt;8,MONTH(D6)+1,IF(MONTH(D6)&lt;10,10,IF(MONTH(D6)&lt;12,12,14))))))-12*(IF(AND(ISNUMBER(MATCH(MONTH(D6),{2,4,5,6,7,8,10,12},0)),DAY(D6)&lt;=14),MONTH(D6),IF(MONTH(D6)&lt;2,2,IF(MONTH(D6)&lt;4,4,IF(MONTH(D6)&lt;8,MONTH(D6)+1,IF(MONTH(D6)&lt;10,10,IF(MONTH(D6)&lt;12,12,14))))))&gt;12),"00"),"")</f>
        <v>0</v>
      </c>
      <c r="F6" s="6">
        <f>IF(A6&lt;&gt;"",(MONTH(D6)-1)*2+IF(DAY(D6)&lt;=14,1,2),0)</f>
        <v>0</v>
      </c>
      <c r="G6" s="7">
        <f>IF(AND(A6&lt;&gt;"",N(B6)&gt;0),INDEX(FutPrices,MATCH(E6,FutContracts,0)),0)</f>
        <v>0</v>
      </c>
      <c r="H6" s="7">
        <f>IF(AND(A6&lt;&gt;"",N(B6)&gt;0),INDEX(BasisByPeriod,F6),0)</f>
        <v>0</v>
      </c>
      <c r="I6" s="7">
        <f>IF(AND(A6&lt;&gt;"",N(B6)&gt;0),Premium,0)</f>
        <v>0</v>
      </c>
      <c r="J6" s="5">
        <f>G6+H6+I6</f>
        <v>0</v>
      </c>
      <c r="K6" s="7">
        <f>HeadSold*N(B6)/100</f>
        <v>0</v>
      </c>
      <c r="L6" s="7">
        <f>N(C6)*YieldPct/100</f>
        <v>0</v>
      </c>
      <c r="M6" s="4">
        <f>K6*L6/100*J6</f>
        <v>0</v>
      </c>
    </row>
    <row r="7" spans="1:13">
      <c r="A7" s="12"/>
      <c r="B7" s="12"/>
      <c r="C7" s="12"/>
      <c r="D7" s="17">
        <f>IF(A7&lt;&gt;"",PlacementDate+A7,"")</f>
        <v>0</v>
      </c>
      <c r="E7" s="9">
        <f>IF(A7&lt;&gt;"",(YEAR(D7)+(IF(AND(ISNUMBER(MATCH(MONTH(D7),{2,4,5,6,7,8,10,12},0)),DAY(D7)&lt;=14),MONTH(D7),IF(MONTH(D7)&lt;2,2,IF(MONTH(D7)&lt;4,4,IF(MONTH(D7)&lt;8,MONTH(D7)+1,IF(MONTH(D7)&lt;10,10,IF(MONTH(D7)&lt;12,12,14))))))&gt;12))&amp;"-"&amp;TEXT(IF(AND(ISNUMBER(MATCH(MONTH(D7),{2,4,5,6,7,8,10,12},0)),DAY(D7)&lt;=14),MONTH(D7),IF(MONTH(D7)&lt;2,2,IF(MONTH(D7)&lt;4,4,IF(MONTH(D7)&lt;8,MONTH(D7)+1,IF(MONTH(D7)&lt;10,10,IF(MONTH(D7)&lt;12,12,14))))))-12*(IF(AND(ISNUMBER(MATCH(MONTH(D7),{2,4,5,6,7,8,10,12},0)),DAY(D7)&lt;=14),MONTH(D7),IF(MONTH(D7)&lt;2,2,IF(MONTH(D7)&lt;4,4,IF(MONTH(D7)&lt;8,MONTH(D7)+1,IF(MONTH(D7)&lt;10,10,IF(MONTH(D7)&lt;12,12,14))))))&gt;12),"00"),"")</f>
        <v>0</v>
      </c>
      <c r="F7" s="6">
        <f>IF(A7&lt;&gt;"",(MONTH(D7)-1)*2+IF(DAY(D7)&lt;=14,1,2),0)</f>
        <v>0</v>
      </c>
      <c r="G7" s="7">
        <f>IF(AND(A7&lt;&gt;"",N(B7)&gt;0),INDEX(FutPrices,MATCH(E7,FutContracts,0)),0)</f>
        <v>0</v>
      </c>
      <c r="H7" s="7">
        <f>IF(AND(A7&lt;&gt;"",N(B7)&gt;0),INDEX(BasisByPeriod,F7),0)</f>
        <v>0</v>
      </c>
      <c r="I7" s="7">
        <f>IF(AND(A7&lt;&gt;"",N(B7)&gt;0),Premium,0)</f>
        <v>0</v>
      </c>
      <c r="J7" s="5">
        <f>G7+H7+I7</f>
        <v>0</v>
      </c>
      <c r="K7" s="7">
        <f>HeadSold*N(B7)/100</f>
        <v>0</v>
      </c>
      <c r="L7" s="7">
        <f>N(C7)*YieldPct/100</f>
        <v>0</v>
      </c>
      <c r="M7" s="4">
        <f>K7*L7/100*J7</f>
        <v>0</v>
      </c>
    </row>
    <row r="8" spans="1:13">
      <c r="A8" s="12"/>
      <c r="B8" s="12"/>
      <c r="C8" s="12"/>
      <c r="D8" s="17">
        <f>IF(A8&lt;&gt;"",PlacementDate+A8,"")</f>
        <v>0</v>
      </c>
      <c r="E8" s="9">
        <f>IF(A8&lt;&gt;"",(YEAR(D8)+(IF(AND(ISNUMBER(MATCH(MONTH(D8),{2,4,5,6,7,8,10,12},0)),DAY(D8)&lt;=14),MONTH(D8),IF(MONTH(D8)&lt;2,2,IF(MONTH(D8)&lt;4,4,IF(MONTH(D8)&lt;8,MONTH(D8)+1,IF(MONTH(D8)&lt;10,10,IF(MONTH(D8)&lt;12,12,14))))))&gt;12))&amp;"-"&amp;TEXT(IF(AND(ISNUMBER(MATCH(MONTH(D8),{2,4,5,6,7,8,10,12},0)),DAY(D8)&lt;=14),MONTH(D8),IF(MONTH(D8)&lt;2,2,IF(MONTH(D8)&lt;4,4,IF(MONTH(D8)&lt;8,MONTH(D8)+1,IF(MONTH(D8)&lt;10,10,IF(MONTH(D8)&lt;12,12,14))))))-12*(IF(AND(ISNUMBER(MATCH(MONTH(D8),{2,4,5,6,7,8,10,12},0)),DAY(D8)&lt;=14),MONTH(D8),IF(MONTH(D8)&lt;2,2,IF(MONTH(D8)&lt;4,4,IF(MONTH(D8)&lt;8,MONTH(D8)+1,IF(MONTH(D8)&lt;10,10,IF(MONTH(D8)&lt;12,12,14))))))&gt;12),"00"),"")</f>
        <v>0</v>
      </c>
      <c r="F8" s="6">
        <f>IF(A8&lt;&gt;"",(MONTH(D8)-1)*2+IF(DAY(D8)&lt;=14,1,2),0)</f>
        <v>0</v>
      </c>
      <c r="G8" s="7">
        <f>IF(AND(A8&lt;&gt;"",N(B8)&gt;0),INDEX(FutPrices,MATCH(E8,FutContracts,0)),0)</f>
        <v>0</v>
      </c>
      <c r="H8" s="7">
        <f>IF(AND(A8&lt;&gt;"",N(B8)&gt;0),INDEX(BasisByPeriod,F8),0)</f>
        <v>0</v>
      </c>
      <c r="I8" s="7">
        <f>IF(AND(A8&lt;&gt;"",N(B8)&gt;0),Premium,0)</f>
        <v>0</v>
      </c>
      <c r="J8" s="5">
        <f>G8+H8+I8</f>
        <v>0</v>
      </c>
      <c r="K8" s="7">
        <f>HeadSold*N(B8)/100</f>
        <v>0</v>
      </c>
      <c r="L8" s="7">
        <f>N(C8)*YieldPct/100</f>
        <v>0</v>
      </c>
      <c r="M8" s="4">
        <f>K8*L8/100*J8</f>
        <v>0</v>
      </c>
    </row>
    <row r="9" spans="1:13">
      <c r="A9" s="12"/>
      <c r="B9" s="12"/>
      <c r="C9" s="12"/>
      <c r="D9" s="17">
        <f>IF(A9&lt;&gt;"",PlacementDate+A9,"")</f>
        <v>0</v>
      </c>
      <c r="E9" s="9">
        <f>IF(A9&lt;&gt;"",(YEAR(D9)+(IF(AND(ISNUMBER(MATCH(MONTH(D9),{2,4,5,6,7,8,10,12},0)),DAY(D9)&lt;=14),MONTH(D9),IF(MONTH(D9)&lt;2,2,IF(MONTH(D9)&lt;4,4,IF(MONTH(D9)&lt;8,MONTH(D9)+1,IF(MONTH(D9)&lt;10,10,IF(MONTH(D9)&lt;12,12,14))))))&gt;12))&amp;"-"&amp;TEXT(IF(AND(ISNUMBER(MATCH(MONTH(D9),{2,4,5,6,7,8,10,12},0)),DAY(D9)&lt;=14),MONTH(D9),IF(MONTH(D9)&lt;2,2,IF(MONTH(D9)&lt;4,4,IF(MONTH(D9)&lt;8,MONTH(D9)+1,IF(MONTH(D9)&lt;10,10,IF(MONTH(D9)&lt;12,12,14))))))-12*(IF(AND(ISNUMBER(MATCH(MONTH(D9),{2,4,5,6,7,8,10,12},0)),DAY(D9)&lt;=14),MONTH(D9),IF(MONTH(D9)&lt;2,2,IF(MONTH(D9)&lt;4,4,IF(MONTH(D9)&lt;8,MONTH(D9)+1,IF(MONTH(D9)&lt;10,10,IF(MONTH(D9)&lt;12,12,14))))))&gt;12),"00"),"")</f>
        <v>0</v>
      </c>
      <c r="F9" s="6">
        <f>IF(A9&lt;&gt;"",(MONTH(D9)-1)*2+IF(DAY(D9)&lt;=14,1,2),0)</f>
        <v>0</v>
      </c>
      <c r="G9" s="7">
        <f>IF(AND(A9&lt;&gt;"",N(B9)&gt;0),INDEX(FutPrices,MATCH(E9,FutContracts,0)),0)</f>
        <v>0</v>
      </c>
      <c r="H9" s="7">
        <f>IF(AND(A9&lt;&gt;"",N(B9)&gt;0),INDEX(BasisByPeriod,F9),0)</f>
        <v>0</v>
      </c>
      <c r="I9" s="7">
        <f>IF(AND(A9&lt;&gt;"",N(B9)&gt;0),Premium,0)</f>
        <v>0</v>
      </c>
      <c r="J9" s="5">
        <f>G9+H9+I9</f>
        <v>0</v>
      </c>
      <c r="K9" s="7">
        <f>HeadSold*N(B9)/100</f>
        <v>0</v>
      </c>
      <c r="L9" s="7">
        <f>N(C9)*YieldPct/100</f>
        <v>0</v>
      </c>
      <c r="M9" s="4">
        <f>K9*L9/100*J9</f>
        <v>0</v>
      </c>
    </row>
    <row r="10" spans="1:13">
      <c r="A10" s="8" t="s">
        <v>134</v>
      </c>
      <c r="B10" s="7">
        <f>SUM(B2:B9)</f>
        <v>0</v>
      </c>
      <c r="K10" s="7">
        <f>SUM(K2:K9)</f>
        <v>0</v>
      </c>
      <c r="M10" s="16">
        <f>SUM(M2:M9)</f>
        <v>0</v>
      </c>
    </row>
    <row r="12" spans="1:13">
      <c r="A12" s="2" t="s">
        <v>180</v>
      </c>
    </row>
  </sheetData>
  <conditionalFormatting sqref="B10">
    <cfRule type="cellIs" dxfId="0" priority="1" operator="notEqual">
      <formula>100</formula>
    </cfRule>
  </conditionalFormatting>
  <pageMargins left="0.7" right="0.7" top="0.75" bottom="0.75" header="0.3" footer="0.3"/>
  <pageSetup paperSize="1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workbookViewId="0"/>
  </sheetViews>
  <sheetFormatPr defaultRowHeight="15"/>
  <cols>
    <col min="1" max="1" width="14.7109375" customWidth="1"/>
    <col min="2" max="2" width="16.7109375" customWidth="1"/>
    <col min="4" max="4" width="10.7109375" customWidth="1"/>
    <col min="5" max="5" width="16.7109375" customWidth="1"/>
    <col min="6" max="6" width="14.7109375" customWidth="1"/>
  </cols>
  <sheetData>
    <row r="1" spans="1:6">
      <c r="A1" s="8" t="s">
        <v>136</v>
      </c>
      <c r="D1" s="8" t="s">
        <v>141</v>
      </c>
    </row>
    <row r="2" spans="1:6">
      <c r="A2" s="15" t="s">
        <v>137</v>
      </c>
      <c r="B2" s="15" t="s">
        <v>61</v>
      </c>
      <c r="D2" s="15" t="s">
        <v>142</v>
      </c>
      <c r="E2" s="15" t="s">
        <v>143</v>
      </c>
      <c r="F2" s="15" t="s">
        <v>61</v>
      </c>
    </row>
    <row r="3" spans="1:6">
      <c r="A3" s="14" t="s">
        <v>138</v>
      </c>
      <c r="B3" s="12">
        <v>66.925</v>
      </c>
      <c r="D3" s="6">
        <v>1</v>
      </c>
      <c r="E3" s="9" t="s">
        <v>144</v>
      </c>
      <c r="F3" s="12">
        <v>0</v>
      </c>
    </row>
    <row r="4" spans="1:6">
      <c r="A4" s="14" t="s">
        <v>139</v>
      </c>
      <c r="B4" s="12">
        <v>69.22499999999999</v>
      </c>
      <c r="D4" s="6">
        <v>2</v>
      </c>
      <c r="E4" s="9" t="s">
        <v>145</v>
      </c>
      <c r="F4" s="12">
        <v>0</v>
      </c>
    </row>
    <row r="5" spans="1:6">
      <c r="A5" s="14" t="s">
        <v>140</v>
      </c>
      <c r="B5" s="12">
        <v>74.675</v>
      </c>
      <c r="D5" s="6">
        <v>3</v>
      </c>
      <c r="E5" s="9" t="s">
        <v>146</v>
      </c>
      <c r="F5" s="12">
        <v>0</v>
      </c>
    </row>
    <row r="6" spans="1:6">
      <c r="A6" s="14"/>
      <c r="B6" s="12"/>
      <c r="D6" s="6">
        <v>4</v>
      </c>
      <c r="E6" s="9" t="s">
        <v>147</v>
      </c>
      <c r="F6" s="12">
        <v>0</v>
      </c>
    </row>
    <row r="7" spans="1:6">
      <c r="A7" s="14"/>
      <c r="B7" s="12"/>
      <c r="D7" s="6">
        <v>5</v>
      </c>
      <c r="E7" s="9" t="s">
        <v>148</v>
      </c>
      <c r="F7" s="12">
        <v>0</v>
      </c>
    </row>
    <row r="8" spans="1:6">
      <c r="A8" s="14"/>
      <c r="B8" s="12"/>
      <c r="D8" s="6">
        <v>6</v>
      </c>
      <c r="E8" s="9" t="s">
        <v>149</v>
      </c>
      <c r="F8" s="12">
        <v>0</v>
      </c>
    </row>
    <row r="9" spans="1:6">
      <c r="A9" s="14"/>
      <c r="B9" s="12"/>
      <c r="D9" s="6">
        <v>7</v>
      </c>
      <c r="E9" s="9" t="s">
        <v>150</v>
      </c>
      <c r="F9" s="12">
        <v>0</v>
      </c>
    </row>
    <row r="10" spans="1:6">
      <c r="A10" s="14"/>
      <c r="B10" s="12"/>
      <c r="D10" s="6">
        <v>8</v>
      </c>
      <c r="E10" s="9" t="s">
        <v>151</v>
      </c>
      <c r="F10" s="12">
        <v>0</v>
      </c>
    </row>
    <row r="11" spans="1:6">
      <c r="A11" s="14"/>
      <c r="B11" s="12"/>
      <c r="D11" s="6">
        <v>9</v>
      </c>
      <c r="E11" s="9" t="s">
        <v>152</v>
      </c>
      <c r="F11" s="12">
        <v>0</v>
      </c>
    </row>
    <row r="12" spans="1:6">
      <c r="A12" s="14"/>
      <c r="B12" s="12"/>
      <c r="D12" s="6">
        <v>10</v>
      </c>
      <c r="E12" s="9" t="s">
        <v>153</v>
      </c>
      <c r="F12" s="12">
        <v>0</v>
      </c>
    </row>
    <row r="13" spans="1:6">
      <c r="A13" s="14"/>
      <c r="B13" s="12"/>
      <c r="D13" s="6">
        <v>11</v>
      </c>
      <c r="E13" s="9" t="s">
        <v>154</v>
      </c>
      <c r="F13" s="12">
        <v>0</v>
      </c>
    </row>
    <row r="14" spans="1:6">
      <c r="A14" s="14"/>
      <c r="B14" s="12"/>
      <c r="D14" s="6">
        <v>12</v>
      </c>
      <c r="E14" s="9" t="s">
        <v>155</v>
      </c>
      <c r="F14" s="12">
        <v>0</v>
      </c>
    </row>
    <row r="15" spans="1:6">
      <c r="A15" s="14"/>
      <c r="B15" s="12"/>
      <c r="D15" s="6">
        <v>13</v>
      </c>
      <c r="E15" s="9" t="s">
        <v>156</v>
      </c>
      <c r="F15" s="12">
        <v>0</v>
      </c>
    </row>
    <row r="16" spans="1:6">
      <c r="A16" s="14"/>
      <c r="B16" s="12"/>
      <c r="D16" s="6">
        <v>14</v>
      </c>
      <c r="E16" s="9" t="s">
        <v>157</v>
      </c>
      <c r="F16" s="12">
        <v>0</v>
      </c>
    </row>
    <row r="17" spans="1:6">
      <c r="A17" s="14"/>
      <c r="B17" s="12"/>
      <c r="D17" s="6">
        <v>15</v>
      </c>
      <c r="E17" s="9" t="s">
        <v>158</v>
      </c>
      <c r="F17" s="12">
        <v>0</v>
      </c>
    </row>
    <row r="18" spans="1:6">
      <c r="A18" s="14"/>
      <c r="B18" s="12"/>
      <c r="D18" s="6">
        <v>16</v>
      </c>
      <c r="E18" s="9" t="s">
        <v>159</v>
      </c>
      <c r="F18" s="12">
        <v>0</v>
      </c>
    </row>
    <row r="19" spans="1:6">
      <c r="A19" s="14"/>
      <c r="B19" s="12"/>
      <c r="D19" s="6">
        <v>17</v>
      </c>
      <c r="E19" s="9" t="s">
        <v>160</v>
      </c>
      <c r="F19" s="12">
        <v>0</v>
      </c>
    </row>
    <row r="20" spans="1:6">
      <c r="A20" s="14"/>
      <c r="B20" s="12"/>
      <c r="D20" s="6">
        <v>18</v>
      </c>
      <c r="E20" s="9" t="s">
        <v>161</v>
      </c>
      <c r="F20" s="12">
        <v>0</v>
      </c>
    </row>
    <row r="21" spans="1:6">
      <c r="A21" s="14"/>
      <c r="B21" s="12"/>
      <c r="D21" s="6">
        <v>19</v>
      </c>
      <c r="E21" s="9" t="s">
        <v>162</v>
      </c>
      <c r="F21" s="12">
        <v>0</v>
      </c>
    </row>
    <row r="22" spans="1:6">
      <c r="A22" s="14"/>
      <c r="B22" s="12"/>
      <c r="D22" s="6">
        <v>20</v>
      </c>
      <c r="E22" s="9" t="s">
        <v>163</v>
      </c>
      <c r="F22" s="12">
        <v>0</v>
      </c>
    </row>
    <row r="23" spans="1:6">
      <c r="A23" s="14"/>
      <c r="B23" s="12"/>
      <c r="D23" s="6">
        <v>21</v>
      </c>
      <c r="E23" s="9" t="s">
        <v>164</v>
      </c>
      <c r="F23" s="12">
        <v>0</v>
      </c>
    </row>
    <row r="24" spans="1:6">
      <c r="A24" s="14"/>
      <c r="B24" s="12"/>
      <c r="D24" s="6">
        <v>22</v>
      </c>
      <c r="E24" s="9" t="s">
        <v>165</v>
      </c>
      <c r="F24" s="12">
        <v>0</v>
      </c>
    </row>
    <row r="25" spans="1:6">
      <c r="A25" s="14"/>
      <c r="B25" s="12"/>
      <c r="D25" s="6">
        <v>23</v>
      </c>
      <c r="E25" s="9" t="s">
        <v>166</v>
      </c>
      <c r="F25" s="12">
        <v>0</v>
      </c>
    </row>
    <row r="26" spans="1:6">
      <c r="A26" s="14"/>
      <c r="B26" s="12"/>
      <c r="D26" s="6">
        <v>24</v>
      </c>
      <c r="E26" s="9" t="s">
        <v>167</v>
      </c>
      <c r="F26" s="12">
        <v>0</v>
      </c>
    </row>
  </sheetData>
  <pageMargins left="0.7" right="0.7" top="0.75" bottom="0.75" header="0.3" footer="0.3"/>
  <pageSetup paperSize="1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workbookViewId="0"/>
  </sheetViews>
  <sheetFormatPr defaultRowHeight="15"/>
  <cols>
    <col min="1" max="1" width="24.7109375" customWidth="1"/>
    <col min="2" max="6" width="16.7109375" customWidth="1"/>
  </cols>
  <sheetData>
    <row r="1" spans="1:6">
      <c r="A1" s="15" t="s">
        <v>181</v>
      </c>
      <c r="B1" s="15" t="s">
        <v>182</v>
      </c>
      <c r="C1" s="15" t="s">
        <v>51</v>
      </c>
      <c r="D1" s="15" t="s">
        <v>54</v>
      </c>
      <c r="E1" s="15" t="s">
        <v>61</v>
      </c>
      <c r="F1" s="15" t="s">
        <v>183</v>
      </c>
    </row>
    <row r="2" spans="1:6">
      <c r="A2" s="9" t="s">
        <v>184</v>
      </c>
      <c r="B2" s="4">
        <f>HeadPlaced*(WeanPrice+WeanFreight)</f>
        <v>0</v>
      </c>
      <c r="C2" s="5">
        <f>B2/HeadPlaced</f>
        <v>0</v>
      </c>
      <c r="D2" s="5">
        <f>B2/HeadSold</f>
        <v>0</v>
      </c>
      <c r="E2" s="5">
        <f>B2/CarcassCwt</f>
        <v>0</v>
      </c>
      <c r="F2" s="18">
        <f>B2/$B$12</f>
        <v>0</v>
      </c>
    </row>
    <row r="3" spans="1:6">
      <c r="A3" s="9" t="s">
        <v>185</v>
      </c>
      <c r="B3" s="4">
        <f>FeedCost</f>
        <v>0</v>
      </c>
      <c r="C3" s="5">
        <f>B3/HeadPlaced</f>
        <v>0</v>
      </c>
      <c r="D3" s="5">
        <f>B3/HeadSold</f>
        <v>0</v>
      </c>
      <c r="E3" s="5">
        <f>B3/CarcassCwt</f>
        <v>0</v>
      </c>
      <c r="F3" s="18">
        <f>B3/$B$12</f>
        <v>0</v>
      </c>
    </row>
    <row r="4" spans="1:6">
      <c r="A4" s="9" t="s">
        <v>186</v>
      </c>
      <c r="B4" s="4">
        <f>IF(BarnMode="$/space/year",HeadPlaced*BarnRent*BarnDays/365,HeadPlaced*BarnPerPig)</f>
        <v>0</v>
      </c>
      <c r="C4" s="5">
        <f>B4/HeadPlaced</f>
        <v>0</v>
      </c>
      <c r="D4" s="5">
        <f>B4/HeadSold</f>
        <v>0</v>
      </c>
      <c r="E4" s="5">
        <f>B4/CarcassCwt</f>
        <v>0</v>
      </c>
      <c r="F4" s="18">
        <f>B4/$B$12</f>
        <v>0</v>
      </c>
    </row>
    <row r="5" spans="1:6">
      <c r="A5" s="9" t="s">
        <v>187</v>
      </c>
      <c r="B5" s="4">
        <f>IF(LaborMode="hours x wage",HeadPlaced*LaborHours*LaborWage,HeadPlaced*LaborPerPig)</f>
        <v>0</v>
      </c>
      <c r="C5" s="5">
        <f>B5/HeadPlaced</f>
        <v>0</v>
      </c>
      <c r="D5" s="5">
        <f>B5/HeadSold</f>
        <v>0</v>
      </c>
      <c r="E5" s="5">
        <f>B5/CarcassCwt</f>
        <v>0</v>
      </c>
      <c r="F5" s="18">
        <f>B5/$B$12</f>
        <v>0</v>
      </c>
    </row>
    <row r="6" spans="1:6">
      <c r="A6" s="9" t="s">
        <v>188</v>
      </c>
      <c r="B6" s="4">
        <f>HeadPlaced*VetMed</f>
        <v>0</v>
      </c>
      <c r="C6" s="5">
        <f>B6/HeadPlaced</f>
        <v>0</v>
      </c>
      <c r="D6" s="5">
        <f>B6/HeadSold</f>
        <v>0</v>
      </c>
      <c r="E6" s="5">
        <f>B6/CarcassCwt</f>
        <v>0</v>
      </c>
      <c r="F6" s="18">
        <f>B6/$B$12</f>
        <v>0</v>
      </c>
    </row>
    <row r="7" spans="1:6">
      <c r="A7" s="9" t="s">
        <v>189</v>
      </c>
      <c r="B7" s="4">
        <f>HeadPlaced*Utilities</f>
        <v>0</v>
      </c>
      <c r="C7" s="5">
        <f>B7/HeadPlaced</f>
        <v>0</v>
      </c>
      <c r="D7" s="5">
        <f>B7/HeadSold</f>
        <v>0</v>
      </c>
      <c r="E7" s="5">
        <f>B7/CarcassCwt</f>
        <v>0</v>
      </c>
      <c r="F7" s="18">
        <f>B7/$B$12</f>
        <v>0</v>
      </c>
    </row>
    <row r="8" spans="1:6">
      <c r="A8" s="9" t="s">
        <v>53</v>
      </c>
      <c r="B8" s="4">
        <f>HeadSold*Trucking</f>
        <v>0</v>
      </c>
      <c r="C8" s="5">
        <f>B8/HeadPlaced</f>
        <v>0</v>
      </c>
      <c r="D8" s="5">
        <f>B8/HeadSold</f>
        <v>0</v>
      </c>
      <c r="E8" s="5">
        <f>B8/CarcassCwt</f>
        <v>0</v>
      </c>
      <c r="F8" s="18">
        <f>B8/$B$12</f>
        <v>0</v>
      </c>
    </row>
    <row r="9" spans="1:6">
      <c r="A9" s="9" t="s">
        <v>55</v>
      </c>
      <c r="B9" s="4">
        <f>HeadPlaced*InsMisc</f>
        <v>0</v>
      </c>
      <c r="C9" s="5">
        <f>B9/HeadPlaced</f>
        <v>0</v>
      </c>
      <c r="D9" s="5">
        <f>B9/HeadSold</f>
        <v>0</v>
      </c>
      <c r="E9" s="5">
        <f>B9/CarcassCwt</f>
        <v>0</v>
      </c>
      <c r="F9" s="18">
        <f>B9/$B$12</f>
        <v>0</v>
      </c>
    </row>
    <row r="10" spans="1:6">
      <c r="A10" s="9" t="s">
        <v>190</v>
      </c>
      <c r="B10" s="4">
        <f>InterestPct/100*AvgDays/365*(B2+0.5*B3)</f>
        <v>0</v>
      </c>
      <c r="C10" s="5">
        <f>B10/HeadPlaced</f>
        <v>0</v>
      </c>
      <c r="D10" s="5">
        <f>B10/HeadSold</f>
        <v>0</v>
      </c>
      <c r="E10" s="5">
        <f>B10/CarcassCwt</f>
        <v>0</v>
      </c>
      <c r="F10" s="18">
        <f>B10/$B$12</f>
        <v>0</v>
      </c>
    </row>
    <row r="11" spans="1:6">
      <c r="A11" s="9" t="s">
        <v>191</v>
      </c>
      <c r="B11" s="4">
        <f>GrossRevenue*CheckoffPct/100</f>
        <v>0</v>
      </c>
      <c r="C11" s="5">
        <f>B11/HeadPlaced</f>
        <v>0</v>
      </c>
      <c r="D11" s="5">
        <f>B11/HeadSold</f>
        <v>0</v>
      </c>
      <c r="E11" s="5">
        <f>B11/CarcassCwt</f>
        <v>0</v>
      </c>
      <c r="F11" s="18">
        <f>B11/$B$12</f>
        <v>0</v>
      </c>
    </row>
    <row r="12" spans="1:6">
      <c r="A12" s="8" t="s">
        <v>192</v>
      </c>
      <c r="B12" s="16">
        <f>SUM(B2:B11)</f>
        <v>0</v>
      </c>
      <c r="C12" s="19">
        <f>B12/HeadPlaced</f>
        <v>0</v>
      </c>
      <c r="D12" s="19">
        <f>B12/HeadSold</f>
        <v>0</v>
      </c>
      <c r="E12" s="19">
        <f>B12/CarcassCwt</f>
        <v>0</v>
      </c>
    </row>
  </sheetData>
  <pageMargins left="0.7" right="0.7" top="0.75" bottom="0.75" header="0.3" footer="0.3"/>
  <pageSetup paperSize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51</vt:i4>
      </vt:variant>
    </vt:vector>
  </HeadingPairs>
  <TitlesOfParts>
    <vt:vector size="58" baseType="lpstr">
      <vt:lpstr>Dashboard</vt:lpstr>
      <vt:lpstr>Inputs</vt:lpstr>
      <vt:lpstr>Locations</vt:lpstr>
      <vt:lpstr>Feed</vt:lpstr>
      <vt:lpstr>Marketing</vt:lpstr>
      <vt:lpstr>Market Data</vt:lpstr>
      <vt:lpstr>Costs</vt:lpstr>
      <vt:lpstr>AvgDays</vt:lpstr>
      <vt:lpstr>BarnDays</vt:lpstr>
      <vt:lpstr>BarnDowntime</vt:lpstr>
      <vt:lpstr>BarnMode</vt:lpstr>
      <vt:lpstr>BarnPerPig</vt:lpstr>
      <vt:lpstr>BarnRent</vt:lpstr>
      <vt:lpstr>BasisByPeriod</vt:lpstr>
      <vt:lpstr>CarcassCwt</vt:lpstr>
      <vt:lpstr>CheckoffCost</vt:lpstr>
      <vt:lpstr>CheckoffPct</vt:lpstr>
      <vt:lpstr>CornBasis</vt:lpstr>
      <vt:lpstr>CornCash</vt:lpstr>
      <vt:lpstr>CornFutures</vt:lpstr>
      <vt:lpstr>DdgsPrice</vt:lpstr>
      <vt:lpstr>DeadFeedShare</vt:lpstr>
      <vt:lpstr>FeedCost</vt:lpstr>
      <vt:lpstr>FeedMill</vt:lpstr>
      <vt:lpstr>FeedTons</vt:lpstr>
      <vt:lpstr>FutContracts</vt:lpstr>
      <vt:lpstr>FutPrices</vt:lpstr>
      <vt:lpstr>GrossRevenue</vt:lpstr>
      <vt:lpstr>HeadPlaced</vt:lpstr>
      <vt:lpstr>HeadSold</vt:lpstr>
      <vt:lpstr>InsMisc</vt:lpstr>
      <vt:lpstr>InterestPct</vt:lpstr>
      <vt:lpstr>LaborHours</vt:lpstr>
      <vt:lpstr>LaborMode</vt:lpstr>
      <vt:lpstr>LaborPerPig</vt:lpstr>
      <vt:lpstr>LaborWage</vt:lpstr>
      <vt:lpstr>LiveCwt</vt:lpstr>
      <vt:lpstr>Location</vt:lpstr>
      <vt:lpstr>LocRow</vt:lpstr>
      <vt:lpstr>MortalityPct</vt:lpstr>
      <vt:lpstr>PigsFed</vt:lpstr>
      <vt:lpstr>PlacementDate</vt:lpstr>
      <vt:lpstr>Premium</vt:lpstr>
      <vt:lpstr>SbmBasis</vt:lpstr>
      <vt:lpstr>SbmCash</vt:lpstr>
      <vt:lpstr>SbmFutures</vt:lpstr>
      <vt:lpstr>TotalCost</vt:lpstr>
      <vt:lpstr>Trucking</vt:lpstr>
      <vt:lpstr>Utilities</vt:lpstr>
      <vt:lpstr>VetMed</vt:lpstr>
      <vt:lpstr>WeanCash</vt:lpstr>
      <vt:lpstr>WeanFormula</vt:lpstr>
      <vt:lpstr>WeanFreight</vt:lpstr>
      <vt:lpstr>WeanManual</vt:lpstr>
      <vt:lpstr>WeanPrice</vt:lpstr>
      <vt:lpstr>WeanSource</vt:lpstr>
      <vt:lpstr>WeanWeight</vt:lpstr>
      <vt:lpstr>YieldPct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2026-10-18T22:31:24Z</dcterms:created>
  <dcterms:modified xsi:type="dcterms:W3CDTF">2026-10-18T22:31:24Z</dcterms:modified>
</cp:coreProperties>
</file>